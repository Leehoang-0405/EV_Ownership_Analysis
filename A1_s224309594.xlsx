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24226"/>
  <mc:AlternateContent xmlns:mc="http://schemas.openxmlformats.org/markup-compatibility/2006">
    <mc:Choice Requires="x15">
      <x15ac:absPath xmlns:x15ac="http://schemas.microsoft.com/office/spreadsheetml/2010/11/ac" url="/Users/hoanglee/Downloads/Uni folder/Deakin_MBA_2024_to_2025/Year 1/Sem 2/MIS771 Descriptive Analytics and Visualisation/Assignment 1/"/>
    </mc:Choice>
  </mc:AlternateContent>
  <xr:revisionPtr revIDLastSave="0" documentId="13_ncr:1_{C7281F26-7E1A-CD46-A82A-267BA6315F6C}" xr6:coauthVersionLast="47" xr6:coauthVersionMax="47" xr10:uidLastSave="{00000000-0000-0000-0000-000000000000}"/>
  <bookViews>
    <workbookView xWindow="0" yWindow="500" windowWidth="28800" windowHeight="16360" activeTab="8" xr2:uid="{00000000-000D-0000-FFFF-FFFF00000000}"/>
  </bookViews>
  <sheets>
    <sheet name="Copyright  " sheetId="14" r:id="rId1"/>
    <sheet name="Data Description" sheetId="15" r:id="rId2"/>
    <sheet name="EVSurvey " sheetId="9" r:id="rId3"/>
    <sheet name="Attitude" sheetId="2" r:id="rId4"/>
    <sheet name="Experiment" sheetId="11" r:id="rId5"/>
    <sheet name="Question 1" sheetId="16" r:id="rId6"/>
    <sheet name="Question 2" sheetId="17" r:id="rId7"/>
    <sheet name="Question 3" sheetId="18" r:id="rId8"/>
    <sheet name="Question 4" sheetId="19" r:id="rId9"/>
    <sheet name="Question 5" sheetId="20" r:id="rId10"/>
    <sheet name="Question 6" sheetId="21" r:id="rId11"/>
  </sheets>
  <externalReferences>
    <externalReference r:id="rId12"/>
  </externalReferences>
  <definedNames>
    <definedName name="_xlnm._FilterDatabase" localSheetId="2" hidden="1">'EVSurvey '!$A$1:$O$103</definedName>
    <definedName name="_xlnm._FilterDatabase" localSheetId="4" hidden="1">Experiment!$A$1:$O$32</definedName>
    <definedName name="Age_Car">[1]CustomerDataSet!#REF!</definedName>
    <definedName name="Alarm">[1]CustomerDataSet!#REF!</definedName>
    <definedName name="Car_Val">[1]CustomerDataSet!#REF!</definedName>
    <definedName name="Eng_Type">[1]CustomerDataSet!#REF!</definedName>
    <definedName name="EstKmsYear">[1]CustomerDataSet!#REF!</definedName>
    <definedName name="Excess">[1]CustomerDataSet!#REF!</definedName>
    <definedName name="Exclusions">[1]CustomerDataSet!#REF!</definedName>
    <definedName name="Exist_Dam">[1]CustomerDataSet!#REF!</definedName>
    <definedName name="Ins_Type">[1]CustomerDataSet!#REF!</definedName>
    <definedName name="Lic_Held">[1]CustomerDataSet!#REF!</definedName>
    <definedName name="Lic_Type">[1]CustomerDataSet!#REF!</definedName>
    <definedName name="Park_Onight">[1]CustomerDataSet!#REF!</definedName>
    <definedName name="Prev_Ins_Cost">[1]CustomerDataSet!#REF!</definedName>
    <definedName name="Quote_Val">[1]CustomerDataSet!#REF!</definedName>
  </definedNames>
  <calcPr calcId="191029"/>
  <pivotCaches>
    <pivotCache cacheId="4" r:id="rId13"/>
    <pivotCache cacheId="5"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8" l="1"/>
  <c r="I12" i="16"/>
  <c r="F25" i="21"/>
  <c r="I13" i="21"/>
  <c r="I16" i="21"/>
  <c r="H6" i="21"/>
  <c r="A5" i="21"/>
  <c r="A6" i="21"/>
  <c r="A7" i="21"/>
  <c r="A8" i="21"/>
  <c r="A9" i="21"/>
  <c r="A10" i="21"/>
  <c r="A11" i="21"/>
  <c r="A12" i="21"/>
  <c r="A13" i="21"/>
  <c r="A14" i="21"/>
  <c r="A15" i="21"/>
  <c r="A4" i="21"/>
  <c r="I20" i="21"/>
  <c r="I21" i="21" s="1"/>
  <c r="I18" i="21"/>
  <c r="I17" i="21"/>
  <c r="L15" i="21"/>
  <c r="L16" i="21" s="1"/>
  <c r="L17" i="21" s="1"/>
  <c r="L14" i="21"/>
  <c r="I12" i="21"/>
  <c r="L11" i="21"/>
  <c r="L10" i="21"/>
  <c r="L9" i="21"/>
  <c r="I8" i="21"/>
  <c r="I6" i="21"/>
  <c r="B15" i="19"/>
  <c r="B28" i="19"/>
  <c r="B31" i="19"/>
  <c r="A21" i="19"/>
  <c r="A20" i="19"/>
  <c r="F19" i="19"/>
  <c r="E19" i="19"/>
  <c r="D19" i="19"/>
  <c r="C19" i="19"/>
  <c r="B19" i="19"/>
  <c r="A19" i="19"/>
  <c r="B18" i="19"/>
  <c r="F15" i="19"/>
  <c r="E15" i="19"/>
  <c r="D15" i="19"/>
  <c r="C15" i="19"/>
  <c r="G14" i="19"/>
  <c r="G13" i="19"/>
  <c r="J34" i="18"/>
  <c r="K29" i="18"/>
  <c r="J29" i="18"/>
  <c r="I29" i="18"/>
  <c r="K28" i="18"/>
  <c r="J28" i="18"/>
  <c r="N31" i="18" s="1"/>
  <c r="I28" i="18"/>
  <c r="K27" i="18"/>
  <c r="J27" i="18"/>
  <c r="N30" i="18" s="1"/>
  <c r="I27" i="18"/>
  <c r="K26" i="18"/>
  <c r="J26" i="18"/>
  <c r="I26" i="18"/>
  <c r="Q25" i="18"/>
  <c r="H4" i="17"/>
  <c r="F11" i="17" s="1"/>
  <c r="I19" i="17"/>
  <c r="I20" i="17" s="1"/>
  <c r="I15" i="17"/>
  <c r="I16" i="17" s="1"/>
  <c r="I6" i="17"/>
  <c r="N27" i="18" l="1"/>
  <c r="O28" i="18"/>
  <c r="O27" i="18"/>
  <c r="P27" i="18" s="1"/>
  <c r="P28" i="18"/>
  <c r="N26" i="18"/>
  <c r="Q26" i="18" s="1"/>
  <c r="N28" i="18"/>
  <c r="Q28" i="18" s="1"/>
  <c r="O29" i="18"/>
  <c r="P29" i="18" s="1"/>
  <c r="O30" i="18"/>
  <c r="P30" i="18" s="1"/>
  <c r="Q30" i="18" s="1"/>
  <c r="N29" i="18"/>
  <c r="O31" i="18"/>
  <c r="P31" i="18" s="1"/>
  <c r="O26" i="18"/>
  <c r="P26" i="18" s="1"/>
  <c r="L21" i="21"/>
  <c r="L20" i="21"/>
  <c r="I22" i="21"/>
  <c r="F14" i="21"/>
  <c r="F13" i="21"/>
  <c r="I14" i="21"/>
  <c r="G15" i="19"/>
  <c r="B21" i="19"/>
  <c r="Q31" i="18"/>
  <c r="F10" i="17"/>
  <c r="I23" i="17"/>
  <c r="I24" i="17" s="1"/>
  <c r="I25" i="17" s="1"/>
  <c r="I26" i="17" s="1"/>
  <c r="F29" i="17" s="1"/>
  <c r="I10" i="17"/>
  <c r="I11" i="17"/>
  <c r="Q27" i="18" l="1"/>
  <c r="Q29" i="18"/>
  <c r="D21" i="19"/>
  <c r="K14" i="19" s="1"/>
  <c r="K21" i="19" s="1"/>
  <c r="E20" i="19"/>
  <c r="C21" i="19"/>
  <c r="J14" i="19" s="1"/>
  <c r="J21" i="19" s="1"/>
  <c r="E21" i="19"/>
  <c r="L14" i="19" s="1"/>
  <c r="L21" i="19" s="1"/>
  <c r="D20" i="19"/>
  <c r="F20" i="19"/>
  <c r="F21" i="19"/>
  <c r="M14" i="19" s="1"/>
  <c r="M21" i="19" s="1"/>
  <c r="C20" i="19"/>
  <c r="C22" i="19" s="1"/>
  <c r="B20" i="19"/>
  <c r="I13" i="19" s="1"/>
  <c r="I20" i="19" s="1"/>
  <c r="B22" i="19"/>
  <c r="I14" i="19"/>
  <c r="I21" i="19" s="1"/>
  <c r="E22" i="19"/>
  <c r="L13" i="19"/>
  <c r="L20" i="19" s="1"/>
  <c r="K13" i="19" l="1"/>
  <c r="K20" i="19" s="1"/>
  <c r="D22" i="19"/>
  <c r="F22" i="19"/>
  <c r="G22" i="19" s="1"/>
  <c r="M13" i="19"/>
  <c r="M20" i="19" s="1"/>
  <c r="G21" i="19"/>
  <c r="G20" i="19"/>
  <c r="J13" i="19"/>
  <c r="J20" i="19" s="1"/>
  <c r="A37" i="19"/>
  <c r="B32" i="19"/>
  <c r="B33" i="19" s="1"/>
  <c r="A34" i="19" s="1"/>
  <c r="O3" i="9" l="1"/>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2" i="9"/>
  <c r="N16" i="16"/>
  <c r="N15" i="16"/>
  <c r="N14" i="16"/>
  <c r="N12" i="16"/>
  <c r="N11" i="16"/>
  <c r="N10" i="16"/>
  <c r="I17" i="16"/>
  <c r="I23" i="16"/>
  <c r="I22" i="16"/>
  <c r="I21" i="16"/>
  <c r="I19" i="16"/>
  <c r="I18" i="16"/>
  <c r="I25" i="16" l="1"/>
  <c r="I26" i="16" s="1"/>
  <c r="N19" i="16"/>
  <c r="N22" i="16" s="1"/>
  <c r="N20" i="16" l="1"/>
  <c r="N21" i="16" s="1"/>
  <c r="N26" i="16" s="1"/>
  <c r="N25" i="16" l="1"/>
  <c r="I8" i="16"/>
  <c r="I13" i="16" s="1"/>
  <c r="H6" i="16"/>
  <c r="I6" i="16"/>
  <c r="I27" i="16" s="1"/>
  <c r="I28" i="16" l="1"/>
  <c r="F31" i="16" s="1"/>
  <c r="I14" i="16"/>
  <c r="F14" i="16"/>
  <c r="F13" i="16"/>
  <c r="E9" i="2" l="1"/>
  <c r="J20" i="2"/>
  <c r="E20" i="2"/>
  <c r="J19" i="2"/>
  <c r="E19" i="2"/>
  <c r="J18" i="2"/>
  <c r="E18" i="2"/>
  <c r="J17" i="2"/>
  <c r="E17" i="2"/>
  <c r="J16" i="2"/>
  <c r="E16" i="2"/>
  <c r="J15" i="2"/>
  <c r="E15" i="2"/>
  <c r="J14" i="2"/>
  <c r="E14" i="2"/>
  <c r="J13" i="2"/>
  <c r="E13" i="2"/>
  <c r="J12" i="2"/>
  <c r="E12" i="2"/>
  <c r="J11" i="2"/>
  <c r="E11" i="2"/>
  <c r="J10" i="2"/>
  <c r="E10" i="2"/>
  <c r="J9" i="2"/>
</calcChain>
</file>

<file path=xl/sharedStrings.xml><?xml version="1.0" encoding="utf-8"?>
<sst xmlns="http://schemas.openxmlformats.org/spreadsheetml/2006/main" count="1438" uniqueCount="310">
  <si>
    <t>Index</t>
  </si>
  <si>
    <t>State</t>
  </si>
  <si>
    <t>Locality</t>
  </si>
  <si>
    <t>Age</t>
  </si>
  <si>
    <t>Household_Type</t>
  </si>
  <si>
    <t>Annual_KM</t>
  </si>
  <si>
    <t>Trip_Type</t>
  </si>
  <si>
    <t>Calculate_Savings</t>
  </si>
  <si>
    <t>New South Wales</t>
  </si>
  <si>
    <t>Metro</t>
  </si>
  <si>
    <t>Couple with no Children</t>
  </si>
  <si>
    <t>Holiday</t>
  </si>
  <si>
    <t>Economic</t>
  </si>
  <si>
    <t>Yes</t>
  </si>
  <si>
    <t>Victoria</t>
  </si>
  <si>
    <t>Regional</t>
  </si>
  <si>
    <t>Single Person</t>
  </si>
  <si>
    <t>Technology</t>
  </si>
  <si>
    <t>Queensland</t>
  </si>
  <si>
    <t>Single Parent</t>
  </si>
  <si>
    <t>No</t>
  </si>
  <si>
    <t>Environment</t>
  </si>
  <si>
    <t>Couple with Children</t>
  </si>
  <si>
    <t>Australian Capital Territory</t>
  </si>
  <si>
    <t>Health</t>
  </si>
  <si>
    <t>Western Australia</t>
  </si>
  <si>
    <t>South Australia</t>
  </si>
  <si>
    <t>Tasmania</t>
  </si>
  <si>
    <t>Private</t>
  </si>
  <si>
    <t>Fuel Security</t>
  </si>
  <si>
    <t>Work</t>
  </si>
  <si>
    <t>Charge_at_Work</t>
  </si>
  <si>
    <t>Charge_at_Home</t>
  </si>
  <si>
    <t>Fuel_Savings</t>
  </si>
  <si>
    <t>Maintenance_Savings</t>
  </si>
  <si>
    <t>Attitude Statements</t>
  </si>
  <si>
    <t>Q1</t>
  </si>
  <si>
    <t>Q2</t>
  </si>
  <si>
    <t>Q3</t>
  </si>
  <si>
    <t>Scale</t>
  </si>
  <si>
    <t>Strongly Disagree (1) to Strongly Agree (10)</t>
  </si>
  <si>
    <t>Respondent-1</t>
  </si>
  <si>
    <t>Respondent-2</t>
  </si>
  <si>
    <t>Respondent-3</t>
  </si>
  <si>
    <t>Respondent-4</t>
  </si>
  <si>
    <t>Respondent-5</t>
  </si>
  <si>
    <t>Respondent-6</t>
  </si>
  <si>
    <t>Respondent-7</t>
  </si>
  <si>
    <t>Respondent-8</t>
  </si>
  <si>
    <t>Respondent-9</t>
  </si>
  <si>
    <t>Respondent-10</t>
  </si>
  <si>
    <t>Respondent-11</t>
  </si>
  <si>
    <t>Respondent-12</t>
  </si>
  <si>
    <t>The government should prioritise the expansion of public charging infrastructure for electric vehicles.</t>
  </si>
  <si>
    <t>I support government incentives to bolster the development of charging infrastructure for electric vehicles.</t>
  </si>
  <si>
    <t>Government regulations targeting the expansion and accessibility of public charging infrastructure are necessary.</t>
  </si>
  <si>
    <t>Year 2022</t>
  </si>
  <si>
    <t>Year 2023</t>
  </si>
  <si>
    <t>AttitudeScore</t>
  </si>
  <si>
    <t>EV_Towing</t>
  </si>
  <si>
    <t>Reason</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</si>
  <si>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</si>
  <si>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</si>
  <si>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</si>
  <si>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</si>
  <si>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</si>
  <si>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</si>
  <si>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</si>
  <si>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</si>
  <si>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</si>
  <si>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</si>
  <si>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</si>
  <si>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</si>
  <si>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</si>
  <si>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</si>
  <si>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</si>
  <si>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</si>
  <si>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</si>
  <si>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</si>
  <si>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</si>
  <si>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</si>
  <si>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</si>
  <si>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</si>
  <si>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</si>
  <si>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</si>
  <si>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</si>
  <si>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</si>
  <si>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</si>
  <si>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</si>
  <si>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</si>
  <si>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</si>
  <si>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You must not otherwise copy or share any part of this document for any other purpose except as expressly permitted under your local copyright laws or with Deakin University's prior consent.</t>
  </si>
  <si>
    <t>DEAKIN UNIVERSITY 2024</t>
  </si>
  <si>
    <t>Variable Name</t>
  </si>
  <si>
    <t>Description</t>
  </si>
  <si>
    <t>The state in which the EV owner normally resides</t>
  </si>
  <si>
    <t xml:space="preserve">EV owners live in the city (Metro) or in the country (Regional) </t>
  </si>
  <si>
    <t xml:space="preserve">Age </t>
  </si>
  <si>
    <t>EV owner’s Age (in years)</t>
  </si>
  <si>
    <t>Household Type (Single Person, Single Parent, Couple with Children, Couple with no Children)</t>
  </si>
  <si>
    <t>Estimate of EV Km travelled per year (Km).</t>
  </si>
  <si>
    <t>What type of trips is EV used for? (Work, Private, Holiday)</t>
  </si>
  <si>
    <t>Reason to buy the EV (Technology, Environment, Economic, Fuel Security, Health)</t>
  </si>
  <si>
    <t>EV is/can be used for Towing (Yes or No)</t>
  </si>
  <si>
    <t xml:space="preserve">Charge_at_work </t>
  </si>
  <si>
    <t>Number of times charging at work per week</t>
  </si>
  <si>
    <t>Number of times charging at home per week</t>
  </si>
  <si>
    <t>EV owner actively calculates fuel/Maintenance savings (Yes or No)</t>
  </si>
  <si>
    <t>Estimate of Annual Fuel Saving ($)</t>
  </si>
  <si>
    <t>Estimate of Annual Maintenance Savings ($)</t>
  </si>
  <si>
    <t>Question 1</t>
  </si>
  <si>
    <t>Hypotheses</t>
  </si>
  <si>
    <t>Null Hypothesis</t>
  </si>
  <si>
    <t>Alternative Hypothesis</t>
  </si>
  <si>
    <t>&lt;</t>
  </si>
  <si>
    <t>Test Type</t>
  </si>
  <si>
    <t>Level of significance</t>
  </si>
  <si>
    <t>α</t>
  </si>
  <si>
    <t>Critical Region</t>
  </si>
  <si>
    <t>Degrees of Freedom</t>
  </si>
  <si>
    <t>Sample Standard Deviation</t>
  </si>
  <si>
    <t>Sample Mean</t>
  </si>
  <si>
    <t>Sample Size</t>
  </si>
  <si>
    <t>Standard Error of the Mean</t>
  </si>
  <si>
    <r>
      <t>t</t>
    </r>
    <r>
      <rPr>
        <sz val="10"/>
        <rFont val="Arial"/>
        <family val="2"/>
      </rPr>
      <t xml:space="preserve"> Sample Statistic</t>
    </r>
  </si>
  <si>
    <t>p-value</t>
  </si>
  <si>
    <t>Decision</t>
  </si>
  <si>
    <r>
      <t>µ</t>
    </r>
    <r>
      <rPr>
        <vertAlign val="subscript"/>
        <sz val="10"/>
        <rFont val="Arial"/>
        <family val="2"/>
      </rPr>
      <t>1</t>
    </r>
    <r>
      <rPr>
        <sz val="10"/>
        <rFont val="Arial"/>
        <family val="2"/>
      </rPr>
      <t xml:space="preserve"> - µ</t>
    </r>
    <r>
      <rPr>
        <vertAlign val="subscript"/>
        <sz val="10"/>
        <rFont val="Arial"/>
        <family val="2"/>
      </rPr>
      <t>2</t>
    </r>
  </si>
  <si>
    <t>≠</t>
  </si>
  <si>
    <t>Sample Results</t>
  </si>
  <si>
    <t>Sample 1 Data</t>
  </si>
  <si>
    <t>Sample 2 Data</t>
  </si>
  <si>
    <t>Metro EV owners</t>
  </si>
  <si>
    <t>Regional EV Owners</t>
  </si>
  <si>
    <t>Mean</t>
  </si>
  <si>
    <t>Standard Error</t>
  </si>
  <si>
    <t>Median</t>
  </si>
  <si>
    <t>Mode</t>
  </si>
  <si>
    <t>Standard Deviation</t>
  </si>
  <si>
    <t>Sample Variance</t>
  </si>
  <si>
    <t>Kurtosis</t>
  </si>
  <si>
    <t>Skewness</t>
  </si>
  <si>
    <t>Range</t>
  </si>
  <si>
    <t>Minimum</t>
  </si>
  <si>
    <t>Maximum</t>
  </si>
  <si>
    <t>Sum</t>
  </si>
  <si>
    <t>Count</t>
  </si>
  <si>
    <t>&gt;</t>
  </si>
  <si>
    <t>≤</t>
  </si>
  <si>
    <t>≥</t>
  </si>
  <si>
    <t>=</t>
  </si>
  <si>
    <t>Question 2</t>
  </si>
  <si>
    <t xml:space="preserve">Alternative Hypothesis </t>
  </si>
  <si>
    <t>Metro EV owners travel further than their regional counterparts</t>
  </si>
  <si>
    <t>Metro EV owners travel less than or equal to their regional counterparts</t>
  </si>
  <si>
    <r>
      <t xml:space="preserve">Hypothesis Test for </t>
    </r>
    <r>
      <rPr>
        <b/>
        <sz val="10"/>
        <rFont val="Calibri"/>
        <family val="2"/>
      </rPr>
      <t>π1 - π2</t>
    </r>
  </si>
  <si>
    <r>
      <t>π</t>
    </r>
    <r>
      <rPr>
        <vertAlign val="subscript"/>
        <sz val="10"/>
        <rFont val="Arial"/>
        <family val="2"/>
      </rPr>
      <t>1</t>
    </r>
    <r>
      <rPr>
        <sz val="10"/>
        <rFont val="Arial"/>
        <family val="2"/>
      </rPr>
      <t xml:space="preserve"> - π</t>
    </r>
    <r>
      <rPr>
        <vertAlign val="subscript"/>
        <sz val="10"/>
        <rFont val="Arial"/>
        <family val="2"/>
      </rPr>
      <t>2</t>
    </r>
  </si>
  <si>
    <t>Sample Data</t>
  </si>
  <si>
    <t>Count of 'Successes'</t>
  </si>
  <si>
    <r>
      <t>Sample proportion, p</t>
    </r>
    <r>
      <rPr>
        <vertAlign val="subscript"/>
        <sz val="10"/>
        <rFont val="Arial"/>
        <family val="2"/>
      </rPr>
      <t>1</t>
    </r>
  </si>
  <si>
    <r>
      <t>Sample proportion, p</t>
    </r>
    <r>
      <rPr>
        <vertAlign val="subscript"/>
        <sz val="10"/>
        <rFont val="Arial"/>
        <family val="2"/>
      </rPr>
      <t>2</t>
    </r>
  </si>
  <si>
    <t>Pooled estimate of proportion</t>
  </si>
  <si>
    <r>
      <t>z</t>
    </r>
    <r>
      <rPr>
        <sz val="10"/>
        <rFont val="Arial"/>
        <family val="2"/>
      </rPr>
      <t xml:space="preserve"> Sample Statistic</t>
    </r>
  </si>
  <si>
    <t>Question 3</t>
  </si>
  <si>
    <t>Row Labels</t>
  </si>
  <si>
    <t>Grand Total</t>
  </si>
  <si>
    <t>Couple with children</t>
  </si>
  <si>
    <t>Couple with no children</t>
  </si>
  <si>
    <t>Single parent</t>
  </si>
  <si>
    <t>Single person</t>
  </si>
  <si>
    <t>Anova: Single Factor</t>
  </si>
  <si>
    <t>SUMMARY</t>
  </si>
  <si>
    <t>Groups</t>
  </si>
  <si>
    <t>Average</t>
  </si>
  <si>
    <t>Variance</t>
  </si>
  <si>
    <t>ANOVA</t>
  </si>
  <si>
    <t>Source of Variation</t>
  </si>
  <si>
    <t>SS</t>
  </si>
  <si>
    <t>df</t>
  </si>
  <si>
    <t>MS</t>
  </si>
  <si>
    <t>F</t>
  </si>
  <si>
    <t>P-value</t>
  </si>
  <si>
    <t>F crit</t>
  </si>
  <si>
    <t>Between Groups</t>
  </si>
  <si>
    <t>Within Groups</t>
  </si>
  <si>
    <t>Total</t>
  </si>
  <si>
    <t>Tukey Kramer Multiple Comparisons</t>
  </si>
  <si>
    <t>Sample</t>
  </si>
  <si>
    <t>Absolute</t>
  </si>
  <si>
    <t>Std. Error</t>
  </si>
  <si>
    <t>Critical</t>
  </si>
  <si>
    <t>Group</t>
  </si>
  <si>
    <t>Size</t>
  </si>
  <si>
    <t>Comparison</t>
  </si>
  <si>
    <t>Difference</t>
  </si>
  <si>
    <t>of Difference</t>
  </si>
  <si>
    <t>Group 1 to Group 2</t>
  </si>
  <si>
    <t>Group 1 to Group 3</t>
  </si>
  <si>
    <t>Group 1 to Group 4</t>
  </si>
  <si>
    <t>Group 2 to Group 3</t>
  </si>
  <si>
    <t>Group 2 to Group 4</t>
  </si>
  <si>
    <t>Other Data</t>
  </si>
  <si>
    <t>Group 3 to Group 4</t>
  </si>
  <si>
    <t>Numerator d.f.</t>
  </si>
  <si>
    <t>Denominator d.f.</t>
  </si>
  <si>
    <t>MSW</t>
  </si>
  <si>
    <t>Q Statistic</t>
  </si>
  <si>
    <t>H1</t>
  </si>
  <si>
    <t>Anova: Two-Factor With Replication</t>
  </si>
  <si>
    <t>Columns</t>
  </si>
  <si>
    <t>Interaction</t>
  </si>
  <si>
    <t>Within</t>
  </si>
  <si>
    <t>Question 6</t>
  </si>
  <si>
    <t>Assumption</t>
  </si>
  <si>
    <t>Equal variances because the standard deviation of annual distance travlelled by metro EV owners are not more than double that of regional EV owners</t>
  </si>
  <si>
    <t xml:space="preserve">Hypothesis Test for µ1 - µ2 (independent, equal variances)			</t>
  </si>
  <si>
    <t>Pooled Variance</t>
  </si>
  <si>
    <t xml:space="preserve">At 5% level of significance, there is sufficient evidence to conclude that EV owners travel further than their regional counterparts. </t>
  </si>
  <si>
    <r>
      <t xml:space="preserve">Confidence Interval for </t>
    </r>
    <r>
      <rPr>
        <b/>
        <sz val="10"/>
        <rFont val="Calibri"/>
        <family val="2"/>
      </rPr>
      <t>µ1 - µ2 (independent, equal variances)</t>
    </r>
  </si>
  <si>
    <t>Level of Confidence</t>
  </si>
  <si>
    <t>Intermediate Calculations</t>
  </si>
  <si>
    <r>
      <t>t</t>
    </r>
    <r>
      <rPr>
        <sz val="10"/>
        <rFont val="Arial"/>
        <family val="2"/>
      </rPr>
      <t xml:space="preserve"> value</t>
    </r>
  </si>
  <si>
    <t>Confidence Interval for µ1 - µ2</t>
  </si>
  <si>
    <t>Interval Lower Limit</t>
  </si>
  <si>
    <t>Interval Upper Limit</t>
  </si>
  <si>
    <t>Column Labels</t>
  </si>
  <si>
    <t>Count of EV_Towing</t>
  </si>
  <si>
    <t>H0</t>
  </si>
  <si>
    <t>There are fewer EV owners in metro areas using their vehicles for towing than those in regional areas</t>
  </si>
  <si>
    <t>There are more or the same number of EV owners in metro areas using their vehicles for towing than those in regional areas</t>
  </si>
  <si>
    <t>At 5% level of significance, there are not enough evidence to conclude that there are fewer EV owners in metro areas using their vehicles for towing than those in regional areas</t>
  </si>
  <si>
    <t>At least one of the groups differ with respect to the mean fuel cost savings</t>
  </si>
  <si>
    <t xml:space="preserve">Mean fuel cost savings between 4 household types is no different </t>
  </si>
  <si>
    <t xml:space="preserve">At 5% level of significance, there is sufficient evidence to conclude that the mean average cost savings in the 4 household types are not all equal </t>
  </si>
  <si>
    <t>Charge_at_home_N</t>
  </si>
  <si>
    <t>Less than 5 times per week</t>
  </si>
  <si>
    <t>More than 5 times per week</t>
  </si>
  <si>
    <t>Count of Charge_at_home_N</t>
  </si>
  <si>
    <t>Chi-Square Test</t>
  </si>
  <si>
    <t>Observed Frequencies</t>
  </si>
  <si>
    <t>Calculations</t>
  </si>
  <si>
    <t>fo - fe</t>
  </si>
  <si>
    <t>Expected Frequencies</t>
  </si>
  <si>
    <t>(fo - fe)^2/fe</t>
  </si>
  <si>
    <t>Data</t>
  </si>
  <si>
    <t>Level of Significance</t>
  </si>
  <si>
    <t>Number of Rows</t>
  </si>
  <si>
    <t>Number of Columns</t>
  </si>
  <si>
    <t>Results</t>
  </si>
  <si>
    <t>Critical Value</t>
  </si>
  <si>
    <t>Chi-Square Test Statistic</t>
  </si>
  <si>
    <r>
      <t>p</t>
    </r>
    <r>
      <rPr>
        <sz val="11"/>
        <rFont val="Calibri"/>
        <family val="2"/>
      </rPr>
      <t>-Value</t>
    </r>
  </si>
  <si>
    <t>Expected frequency assumption</t>
  </si>
  <si>
    <t>Reason to buy the EV</t>
  </si>
  <si>
    <t>Question 5</t>
  </si>
  <si>
    <t>There is a difference in the proportion of EV owners who charge their vehicles at home more than 5 times per week based on their reason for purchasing an EV</t>
  </si>
  <si>
    <t xml:space="preserve">There is no difference in the proportion of EV owners who charge their vehicles at home more than 5 times per week based on their reason for purchasing an EV </t>
  </si>
  <si>
    <t>At 5% level of signficance, there is insufficient evidence to conclude thatr there is a difference in the proportion of EV owners who charge their vehicles at home more than 5 times per week based on their reason for purchasing an EV</t>
  </si>
  <si>
    <t>Main effect of Locality</t>
  </si>
  <si>
    <t>Main effect of trips type</t>
  </si>
  <si>
    <t>Because p-value is 0.32 which is more than 0.05, we do not reject H0</t>
  </si>
  <si>
    <t>Because p-value is 0.67, which is more than 0.05, we do not reject H0</t>
  </si>
  <si>
    <t>There is not sufficient evidence to conclude that the mean distance travelled in Evs is different between Metro EV owners and Regional EV owners</t>
  </si>
  <si>
    <t xml:space="preserve">There is not sufficient evidence to conclude that the mean distance travelled in Evs is different between types of trips  </t>
  </si>
  <si>
    <t>Interaction effect</t>
  </si>
  <si>
    <t>Because p-value is 0.035, which is less than 0.05, we reject H0</t>
  </si>
  <si>
    <t>There is sufficient to conclude that there is an interaction between Locality and Types of trips</t>
  </si>
  <si>
    <t xml:space="preserve">Difference </t>
  </si>
  <si>
    <t>Differences in attitude</t>
  </si>
  <si>
    <r>
      <t xml:space="preserve">Hypothesis Test for </t>
    </r>
    <r>
      <rPr>
        <b/>
        <sz val="10"/>
        <rFont val="Calibri"/>
        <family val="2"/>
      </rPr>
      <t>µ1 - µ2 (Dependent)</t>
    </r>
  </si>
  <si>
    <r>
      <t xml:space="preserve"> µ</t>
    </r>
    <r>
      <rPr>
        <vertAlign val="subscript"/>
        <sz val="10"/>
        <rFont val="Arial"/>
        <family val="2"/>
      </rPr>
      <t>D</t>
    </r>
  </si>
  <si>
    <t>Sample Standard Deviation of differences</t>
  </si>
  <si>
    <t>Sample Mean of differences</t>
  </si>
  <si>
    <t>Null hypothesis</t>
  </si>
  <si>
    <t>Confidence Interval for for µ1 - µ2 (Dependent)</t>
  </si>
  <si>
    <t>Confidence Level</t>
  </si>
  <si>
    <t xml:space="preserve"> Sample Data</t>
  </si>
  <si>
    <t>Sample Standard Deviation of Differences</t>
  </si>
  <si>
    <t>Sample Mean of Differences</t>
  </si>
  <si>
    <t>Standard Error of the Mean Differences</t>
  </si>
  <si>
    <r>
      <t>t</t>
    </r>
    <r>
      <rPr>
        <sz val="10"/>
        <rFont val="Arial"/>
        <family val="2"/>
      </rPr>
      <t xml:space="preserve"> Value</t>
    </r>
  </si>
  <si>
    <t>Margin of Error</t>
  </si>
  <si>
    <t>Confidence Interval</t>
  </si>
  <si>
    <t>Alternative hypothesis</t>
  </si>
  <si>
    <t xml:space="preserve">: </t>
  </si>
  <si>
    <t>Mean distances travelled between metro and regional area is no different</t>
  </si>
  <si>
    <t>Conclusion</t>
  </si>
  <si>
    <t>Test the hypothesis of no difference due to Factor A - Locality</t>
  </si>
  <si>
    <t>Mean distances travelled between metro and regional area is diffferent</t>
  </si>
  <si>
    <t>Test the hypothesis of no difference due to Factor B - Types of Trip</t>
  </si>
  <si>
    <t>Mean distances travelled between three types of trip is no different</t>
  </si>
  <si>
    <t>Mean distances travelled between three types of trip is  different</t>
  </si>
  <si>
    <t>Test the hypothesis of no interaction between A and B</t>
  </si>
  <si>
    <t>There is no interaction between locality and types of trip</t>
  </si>
  <si>
    <t xml:space="preserve">There is an interaction between locality and types of trip </t>
  </si>
  <si>
    <t xml:space="preserve">There is no change in the attidue towards public EV charging infrastructure </t>
  </si>
  <si>
    <t>There is a change in the attitude towards public EV charging infrastructure</t>
  </si>
  <si>
    <t>At 5% level of significance, there is enough evidence to conclude that there is a change in the attitude of towards public EV charging infrastructure</t>
  </si>
  <si>
    <t>Asumption</t>
  </si>
  <si>
    <t>Sample data is normally distributed</t>
  </si>
  <si>
    <t>µ1 = µ2 = µ3 = µ4</t>
  </si>
  <si>
    <t>1, 2, 3, 4 = Couple with children, Couple with no children, Single parent, Single person</t>
  </si>
  <si>
    <t>µ1 ≠ µ2 ≠ µ3 ≠ µ4</t>
  </si>
  <si>
    <t>Assumptions</t>
  </si>
  <si>
    <t>Data is randomly sampled</t>
  </si>
  <si>
    <t xml:space="preserve">The variances of each poplulation are assumed equal </t>
  </si>
  <si>
    <t>The populations are normally distributed</t>
  </si>
  <si>
    <t>π1 = π2 =… = π5</t>
  </si>
  <si>
    <t>π1 ≠ π2 =… ≠ π5</t>
  </si>
  <si>
    <t>1,2,..,5 = Economic, Environment, Fuel Security, Health,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</si>
</sst>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0000"/>
    <numFmt numFmtId="167" formatCode="0.000"/>
  </numFmts>
  <fonts count="27" x14ac:knownFonts="1">
    <font>
      <sz val="11"/>
      <color theme="1"/>
      <name val="Calibri"/>
      <family val="2"/>
      <scheme val="minor"/>
    </font>
    <font>
      <sz val="11"/>
      <color theme="1"/>
      <name val="Aptos Display"/>
      <family val="2"/>
    </font>
    <font>
      <b/>
      <sz val="11"/>
      <color theme="1"/>
      <name val="Aptos Display"/>
      <family val="2"/>
    </font>
    <font>
      <sz val="11"/>
      <color theme="1"/>
      <name val="Aptos"/>
      <family val="2"/>
    </font>
    <font>
      <sz val="11"/>
      <name val="Aptos"/>
      <family val="2"/>
    </font>
    <font>
      <b/>
      <sz val="11"/>
      <color theme="1"/>
      <name val="Aptos"/>
      <family val="2"/>
    </font>
    <font>
      <sz val="10"/>
      <name val="Arial"/>
      <family val="2"/>
    </font>
    <font>
      <b/>
      <sz val="11"/>
      <color theme="1"/>
      <name val="Calibri"/>
      <family val="2"/>
      <scheme val="minor"/>
    </font>
    <font>
      <sz val="8"/>
      <name val="Calibri"/>
      <family val="2"/>
      <scheme val="minor"/>
    </font>
    <font>
      <sz val="14"/>
      <color theme="1"/>
      <name val="Calibri"/>
      <family val="2"/>
      <scheme val="minor"/>
    </font>
    <font>
      <sz val="14"/>
      <color rgb="FFFF0000"/>
      <name val="Calibri"/>
      <family val="2"/>
    </font>
    <font>
      <b/>
      <sz val="10"/>
      <name val="Arial"/>
      <family val="2"/>
    </font>
    <font>
      <b/>
      <sz val="10"/>
      <name val="Calibri"/>
      <family val="2"/>
    </font>
    <font>
      <sz val="10"/>
      <name val="Calibri"/>
      <family val="2"/>
    </font>
    <font>
      <i/>
      <sz val="10"/>
      <name val="Arial"/>
      <family val="2"/>
    </font>
    <font>
      <vertAlign val="subscript"/>
      <sz val="10"/>
      <name val="Arial"/>
      <family val="2"/>
    </font>
    <font>
      <i/>
      <sz val="11"/>
      <color theme="1"/>
      <name val="Calibri"/>
      <family val="2"/>
      <scheme val="minor"/>
    </font>
    <font>
      <sz val="11"/>
      <color theme="1"/>
      <name val="Calibri"/>
      <family val="2"/>
      <scheme val="minor"/>
    </font>
    <font>
      <sz val="11"/>
      <color rgb="FF000000"/>
      <name val="Aptos Display"/>
      <family val="2"/>
      <charset val="1"/>
    </font>
    <font>
      <sz val="11"/>
      <color rgb="FFFF0000"/>
      <name val="Calibri"/>
      <family val="2"/>
      <scheme val="minor"/>
    </font>
    <font>
      <i/>
      <sz val="10"/>
      <color theme="1"/>
      <name val="Calibri"/>
      <family val="2"/>
      <scheme val="minor"/>
    </font>
    <font>
      <b/>
      <sz val="11"/>
      <color rgb="FFFF0000"/>
      <name val="Aptos Display"/>
      <family val="2"/>
    </font>
    <font>
      <sz val="11"/>
      <name val="Calibri"/>
      <family val="2"/>
      <scheme val="minor"/>
    </font>
    <font>
      <b/>
      <sz val="11"/>
      <name val="Calibri"/>
      <family val="2"/>
      <scheme val="minor"/>
    </font>
    <font>
      <i/>
      <sz val="11"/>
      <name val="Calibri"/>
      <family val="2"/>
      <scheme val="minor"/>
    </font>
    <font>
      <sz val="11"/>
      <name val="Calibri"/>
      <family val="2"/>
    </font>
    <font>
      <b/>
      <i/>
      <sz val="11"/>
      <name val="Calibri"/>
      <family val="2"/>
      <scheme val="minor"/>
    </font>
  </fonts>
  <fills count="10">
    <fill>
      <patternFill patternType="none"/>
    </fill>
    <fill>
      <patternFill patternType="gray125"/>
    </fill>
    <fill>
      <patternFill patternType="solid">
        <fgColor theme="8" tint="0.79998168889431442"/>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rgb="FF92D050"/>
        <bgColor indexed="64"/>
      </patternFill>
    </fill>
    <fill>
      <patternFill patternType="solid">
        <fgColor indexed="41"/>
        <bgColor indexed="64"/>
      </patternFill>
    </fill>
    <fill>
      <patternFill patternType="solid">
        <fgColor rgb="FFFFFF00"/>
        <bgColor indexed="64"/>
      </patternFill>
    </fill>
    <fill>
      <patternFill patternType="solid">
        <fgColor indexed="65"/>
        <bgColor indexed="64"/>
      </patternFill>
    </fill>
    <fill>
      <patternFill patternType="solid">
        <fgColor indexed="43"/>
        <bgColor indexed="64"/>
      </patternFill>
    </fill>
  </fills>
  <borders count="35">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medium">
        <color indexed="18"/>
      </bottom>
      <diagonal/>
    </border>
    <border>
      <left/>
      <right style="thin">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s>
  <cellStyleXfs count="5">
    <xf numFmtId="0" fontId="0" fillId="0" borderId="0"/>
    <xf numFmtId="0" fontId="6" fillId="0" borderId="0"/>
    <xf numFmtId="9" fontId="6" fillId="0" borderId="0" applyFont="0" applyFill="0" applyBorder="0" applyAlignment="0" applyProtection="0"/>
    <xf numFmtId="0" fontId="6" fillId="0" borderId="0"/>
    <xf numFmtId="9" fontId="17" fillId="0" borderId="0" applyFont="0" applyFill="0" applyBorder="0" applyAlignment="0" applyProtection="0"/>
  </cellStyleXfs>
  <cellXfs count="275">
    <xf numFmtId="0" fontId="0" fillId="0" borderId="0" xfId="0"/>
    <xf numFmtId="0" fontId="1" fillId="0" borderId="0" xfId="0" applyFont="1"/>
    <xf numFmtId="1" fontId="1" fillId="0" borderId="0" xfId="0" applyNumberFormat="1" applyFont="1"/>
    <xf numFmtId="0" fontId="2" fillId="0" borderId="0" xfId="0" applyFont="1"/>
    <xf numFmtId="0" fontId="3" fillId="0" borderId="0" xfId="0" applyFont="1"/>
    <xf numFmtId="0" fontId="3" fillId="0" borderId="0" xfId="0" applyFont="1" applyAlignment="1">
      <alignment horizontal="center"/>
    </xf>
    <xf numFmtId="0" fontId="5" fillId="0" borderId="0" xfId="0" applyFont="1"/>
    <xf numFmtId="0" fontId="3" fillId="0" borderId="0" xfId="0" applyFont="1" applyAlignment="1">
      <alignment vertical="center"/>
    </xf>
    <xf numFmtId="0" fontId="3" fillId="2" borderId="0" xfId="0" applyFont="1" applyFill="1" applyAlignment="1">
      <alignment horizontal="center"/>
    </xf>
    <xf numFmtId="0" fontId="4" fillId="2" borderId="0" xfId="0" applyFont="1" applyFill="1" applyAlignment="1">
      <alignment horizontal="center"/>
    </xf>
    <xf numFmtId="164" fontId="4" fillId="2" borderId="0" xfId="0" applyNumberFormat="1" applyFont="1" applyFill="1"/>
    <xf numFmtId="164" fontId="3" fillId="2" borderId="0" xfId="0" applyNumberFormat="1" applyFont="1" applyFill="1"/>
    <xf numFmtId="0" fontId="9" fillId="0" borderId="0" xfId="0" applyFont="1"/>
    <xf numFmtId="0" fontId="7" fillId="0" borderId="0" xfId="0" applyFont="1"/>
    <xf numFmtId="0" fontId="10" fillId="0" borderId="0" xfId="0" applyFont="1" applyAlignment="1">
      <alignment vertical="center"/>
    </xf>
    <xf numFmtId="0" fontId="0" fillId="0" borderId="0" xfId="0" applyAlignment="1">
      <alignment vertical="top" wrapText="1"/>
    </xf>
    <xf numFmtId="0" fontId="0" fillId="0" borderId="0" xfId="0" pivotButton="1"/>
    <xf numFmtId="0" fontId="0" fillId="0" borderId="0" xfId="0" applyAlignment="1">
      <alignment horizontal="left"/>
    </xf>
    <xf numFmtId="0" fontId="2" fillId="0" borderId="0" xfId="0" applyFont="1" applyAlignment="1">
      <alignment wrapText="1"/>
    </xf>
    <xf numFmtId="0" fontId="0" fillId="0" borderId="0" xfId="0" applyAlignment="1">
      <alignment wrapText="1"/>
    </xf>
    <xf numFmtId="1" fontId="1" fillId="0" borderId="0" xfId="0" applyNumberFormat="1" applyFont="1" applyAlignment="1">
      <alignment wrapText="1"/>
    </xf>
    <xf numFmtId="0" fontId="6" fillId="0" borderId="0" xfId="1" applyAlignment="1">
      <alignment wrapText="1"/>
    </xf>
    <xf numFmtId="0" fontId="13" fillId="0" borderId="0" xfId="1" applyFont="1" applyAlignment="1">
      <alignment wrapText="1"/>
    </xf>
    <xf numFmtId="0" fontId="6" fillId="0" borderId="7" xfId="1" applyBorder="1" applyAlignment="1">
      <alignment wrapText="1"/>
    </xf>
    <xf numFmtId="0" fontId="6" fillId="0" borderId="8" xfId="1" applyBorder="1" applyAlignment="1">
      <alignment horizontal="center" wrapText="1"/>
    </xf>
    <xf numFmtId="0" fontId="11" fillId="0" borderId="9" xfId="1" applyFont="1" applyBorder="1" applyAlignment="1" applyProtection="1">
      <alignment wrapText="1"/>
      <protection locked="0"/>
    </xf>
    <xf numFmtId="9" fontId="11" fillId="4" borderId="9" xfId="2" applyFont="1" applyFill="1" applyBorder="1" applyAlignment="1">
      <alignment wrapText="1"/>
    </xf>
    <xf numFmtId="0" fontId="6" fillId="0" borderId="0" xfId="1" quotePrefix="1" applyAlignment="1">
      <alignment wrapText="1"/>
    </xf>
    <xf numFmtId="0" fontId="6" fillId="4" borderId="9" xfId="1" applyFill="1" applyBorder="1" applyAlignment="1" applyProtection="1">
      <alignment horizontal="center" wrapText="1"/>
      <protection locked="0"/>
    </xf>
    <xf numFmtId="0" fontId="11" fillId="4" borderId="9" xfId="1" applyFont="1" applyFill="1" applyBorder="1" applyAlignment="1" applyProtection="1">
      <alignment wrapText="1"/>
      <protection locked="0"/>
    </xf>
    <xf numFmtId="0" fontId="6" fillId="0" borderId="4" xfId="1" applyBorder="1" applyAlignment="1">
      <alignment wrapText="1"/>
    </xf>
    <xf numFmtId="0" fontId="6" fillId="0" borderId="5" xfId="1" applyBorder="1" applyAlignment="1">
      <alignment wrapText="1"/>
    </xf>
    <xf numFmtId="0" fontId="6" fillId="5" borderId="9" xfId="1" applyFill="1" applyBorder="1" applyAlignment="1">
      <alignment horizontal="right" wrapText="1"/>
    </xf>
    <xf numFmtId="0" fontId="6" fillId="0" borderId="10" xfId="1" applyBorder="1" applyAlignment="1">
      <alignment wrapText="1"/>
    </xf>
    <xf numFmtId="0" fontId="13" fillId="0" borderId="8" xfId="1" applyFont="1" applyBorder="1" applyAlignment="1">
      <alignment horizontal="center" wrapText="1"/>
    </xf>
    <xf numFmtId="2" fontId="11" fillId="4" borderId="9" xfId="1" applyNumberFormat="1" applyFont="1" applyFill="1" applyBorder="1" applyAlignment="1" applyProtection="1">
      <alignment wrapText="1"/>
      <protection locked="0"/>
    </xf>
    <xf numFmtId="0" fontId="6" fillId="0" borderId="6" xfId="1" applyBorder="1" applyAlignment="1">
      <alignment wrapText="1"/>
    </xf>
    <xf numFmtId="165" fontId="6" fillId="5" borderId="11" xfId="1" applyNumberFormat="1" applyFill="1" applyBorder="1" applyAlignment="1">
      <alignment wrapText="1"/>
    </xf>
    <xf numFmtId="165" fontId="6" fillId="0" borderId="6" xfId="1" applyNumberFormat="1" applyBorder="1" applyAlignment="1">
      <alignment wrapText="1"/>
    </xf>
    <xf numFmtId="0" fontId="0" fillId="0" borderId="21" xfId="0" applyBorder="1" applyAlignment="1">
      <alignment wrapText="1"/>
    </xf>
    <xf numFmtId="2" fontId="6" fillId="0" borderId="6" xfId="1" applyNumberFormat="1" applyBorder="1" applyAlignment="1" applyProtection="1">
      <alignment wrapText="1"/>
      <protection locked="0"/>
    </xf>
    <xf numFmtId="2" fontId="11" fillId="5" borderId="9" xfId="1" applyNumberFormat="1" applyFont="1" applyFill="1" applyBorder="1" applyAlignment="1">
      <alignment wrapText="1"/>
    </xf>
    <xf numFmtId="2" fontId="11" fillId="5" borderId="32" xfId="1" applyNumberFormat="1" applyFont="1" applyFill="1" applyBorder="1" applyAlignment="1">
      <alignment wrapText="1"/>
    </xf>
    <xf numFmtId="165" fontId="6" fillId="5" borderId="6" xfId="1" applyNumberFormat="1" applyFill="1" applyBorder="1" applyAlignment="1">
      <alignment wrapText="1"/>
    </xf>
    <xf numFmtId="0" fontId="1" fillId="0" borderId="0" xfId="0" applyFont="1" applyAlignment="1">
      <alignment wrapText="1"/>
    </xf>
    <xf numFmtId="0" fontId="7" fillId="0" borderId="0" xfId="0" applyFont="1" applyAlignment="1">
      <alignment wrapText="1"/>
    </xf>
    <xf numFmtId="0" fontId="16" fillId="0" borderId="2" xfId="0" applyFont="1" applyBorder="1" applyAlignment="1">
      <alignment wrapText="1"/>
    </xf>
    <xf numFmtId="0" fontId="16" fillId="0" borderId="21" xfId="0" applyFont="1" applyBorder="1" applyAlignment="1">
      <alignment wrapText="1"/>
    </xf>
    <xf numFmtId="0" fontId="21" fillId="7" borderId="0" xfId="0" applyFont="1" applyFill="1"/>
    <xf numFmtId="0" fontId="22" fillId="0" borderId="0" xfId="0" applyFont="1"/>
    <xf numFmtId="165" fontId="22" fillId="0" borderId="0" xfId="0" applyNumberFormat="1" applyFont="1"/>
    <xf numFmtId="0" fontId="22" fillId="8" borderId="8" xfId="0" applyFont="1" applyFill="1" applyBorder="1" applyProtection="1">
      <protection locked="0"/>
    </xf>
    <xf numFmtId="0" fontId="23" fillId="8" borderId="8" xfId="0" applyFont="1" applyFill="1" applyBorder="1" applyProtection="1">
      <protection locked="0"/>
    </xf>
    <xf numFmtId="0" fontId="22" fillId="6" borderId="8" xfId="0" applyFont="1" applyFill="1" applyBorder="1" applyAlignment="1" applyProtection="1">
      <alignment horizontal="center"/>
      <protection locked="0"/>
    </xf>
    <xf numFmtId="0" fontId="22" fillId="8" borderId="8" xfId="0" applyFont="1" applyFill="1" applyBorder="1" applyAlignment="1" applyProtection="1">
      <alignment horizontal="center"/>
      <protection locked="0"/>
    </xf>
    <xf numFmtId="0" fontId="22" fillId="6" borderId="8" xfId="0" applyFont="1" applyFill="1" applyBorder="1" applyAlignment="1" applyProtection="1">
      <alignment horizontal="right"/>
      <protection locked="0"/>
    </xf>
    <xf numFmtId="0" fontId="22" fillId="6" borderId="8" xfId="0" applyFont="1" applyFill="1" applyBorder="1" applyProtection="1">
      <protection locked="0"/>
    </xf>
    <xf numFmtId="0" fontId="22" fillId="8" borderId="8" xfId="0" applyFont="1" applyFill="1" applyBorder="1" applyAlignment="1" applyProtection="1">
      <alignment horizontal="right"/>
      <protection locked="0"/>
    </xf>
    <xf numFmtId="165" fontId="22" fillId="8" borderId="8" xfId="0" applyNumberFormat="1" applyFont="1" applyFill="1" applyBorder="1" applyProtection="1">
      <protection locked="0"/>
    </xf>
    <xf numFmtId="0" fontId="22" fillId="6" borderId="8" xfId="0" applyFont="1" applyFill="1" applyBorder="1"/>
    <xf numFmtId="0" fontId="22" fillId="0" borderId="8" xfId="0" applyFont="1" applyBorder="1"/>
    <xf numFmtId="0" fontId="22" fillId="9" borderId="8" xfId="0" applyFont="1" applyFill="1" applyBorder="1"/>
    <xf numFmtId="165" fontId="22" fillId="9" borderId="8" xfId="0" applyNumberFormat="1" applyFont="1" applyFill="1" applyBorder="1"/>
    <xf numFmtId="0" fontId="24" fillId="9" borderId="8" xfId="0" applyFont="1" applyFill="1" applyBorder="1"/>
    <xf numFmtId="0" fontId="26" fillId="0" borderId="0" xfId="0" applyFont="1"/>
    <xf numFmtId="0" fontId="7" fillId="0" borderId="0" xfId="0" applyFont="1" applyAlignment="1">
      <alignment vertical="top" wrapText="1"/>
    </xf>
    <xf numFmtId="0" fontId="6" fillId="0" borderId="0" xfId="1" applyAlignment="1">
      <alignment vertical="top"/>
    </xf>
    <xf numFmtId="0" fontId="0" fillId="0" borderId="0" xfId="0" applyAlignment="1">
      <alignment vertical="top"/>
    </xf>
    <xf numFmtId="0" fontId="0" fillId="0" borderId="0" xfId="0" pivotButton="1" applyAlignment="1">
      <alignment vertical="top" wrapText="1"/>
    </xf>
    <xf numFmtId="0" fontId="6" fillId="0" borderId="7" xfId="1" applyBorder="1" applyAlignment="1">
      <alignment vertical="top" wrapText="1"/>
    </xf>
    <xf numFmtId="0" fontId="6" fillId="0" borderId="8" xfId="1" applyBorder="1" applyAlignment="1">
      <alignment horizontal="center" vertical="top" wrapText="1"/>
    </xf>
    <xf numFmtId="0" fontId="0" fillId="0" borderId="8" xfId="0" applyBorder="1" applyAlignment="1">
      <alignment vertical="top" wrapText="1"/>
    </xf>
    <xf numFmtId="9" fontId="6" fillId="0" borderId="6" xfId="4" applyFont="1" applyBorder="1" applyAlignment="1">
      <alignment vertical="top" wrapText="1"/>
    </xf>
    <xf numFmtId="0" fontId="0" fillId="0" borderId="0" xfId="0" applyAlignment="1">
      <alignment horizontal="left" vertical="top" wrapText="1"/>
    </xf>
    <xf numFmtId="9" fontId="11" fillId="4" borderId="8" xfId="2" applyFont="1" applyFill="1" applyBorder="1" applyAlignment="1">
      <alignment vertical="top" wrapText="1"/>
    </xf>
    <xf numFmtId="0" fontId="6" fillId="0" borderId="4" xfId="1" applyBorder="1" applyAlignment="1">
      <alignment vertical="top" wrapText="1"/>
    </xf>
    <xf numFmtId="0" fontId="6" fillId="0" borderId="5" xfId="1" applyBorder="1" applyAlignment="1">
      <alignment vertical="top" wrapText="1"/>
    </xf>
    <xf numFmtId="0" fontId="6" fillId="5" borderId="23" xfId="1" applyFill="1" applyBorder="1" applyAlignment="1">
      <alignment horizontal="right" vertical="top" wrapText="1"/>
    </xf>
    <xf numFmtId="0" fontId="6" fillId="0" borderId="10" xfId="1" applyBorder="1" applyAlignment="1">
      <alignment vertical="top" wrapText="1"/>
    </xf>
    <xf numFmtId="0" fontId="6" fillId="0" borderId="0" xfId="1" applyAlignment="1">
      <alignment vertical="top" wrapText="1"/>
    </xf>
    <xf numFmtId="0" fontId="13" fillId="0" borderId="8" xfId="1" applyFont="1" applyBorder="1" applyAlignment="1">
      <alignment horizontal="center" vertical="top" wrapText="1"/>
    </xf>
    <xf numFmtId="2" fontId="11" fillId="4" borderId="9" xfId="1" applyNumberFormat="1" applyFont="1" applyFill="1" applyBorder="1" applyAlignment="1" applyProtection="1">
      <alignment vertical="top" wrapText="1"/>
      <protection locked="0"/>
    </xf>
    <xf numFmtId="0" fontId="11" fillId="4" borderId="9" xfId="1" applyFont="1" applyFill="1" applyBorder="1" applyAlignment="1" applyProtection="1">
      <alignment vertical="top"/>
      <protection locked="0"/>
    </xf>
    <xf numFmtId="165" fontId="6" fillId="0" borderId="6" xfId="1" applyNumberFormat="1" applyBorder="1" applyAlignment="1">
      <alignment vertical="top" wrapText="1"/>
    </xf>
    <xf numFmtId="0" fontId="11" fillId="4" borderId="9" xfId="1" applyFont="1" applyFill="1" applyBorder="1" applyAlignment="1" applyProtection="1">
      <alignment vertical="top" wrapText="1"/>
      <protection locked="0"/>
    </xf>
    <xf numFmtId="10" fontId="11" fillId="0" borderId="9" xfId="2" applyNumberFormat="1" applyFont="1" applyFill="1" applyBorder="1" applyAlignment="1">
      <alignment vertical="top" wrapText="1"/>
    </xf>
    <xf numFmtId="0" fontId="0" fillId="0" borderId="8" xfId="0" applyBorder="1" applyAlignment="1">
      <alignment horizontal="left" vertical="top" wrapText="1"/>
    </xf>
    <xf numFmtId="0" fontId="0" fillId="0" borderId="0" xfId="0" applyAlignment="1">
      <alignment horizontal="center" vertical="top" wrapText="1"/>
    </xf>
    <xf numFmtId="2" fontId="6" fillId="5" borderId="11" xfId="1" applyNumberFormat="1" applyFill="1" applyBorder="1" applyAlignment="1">
      <alignment vertical="top" wrapText="1"/>
    </xf>
    <xf numFmtId="2" fontId="6" fillId="5" borderId="6" xfId="1" applyNumberFormat="1" applyFill="1" applyBorder="1" applyAlignment="1">
      <alignment vertical="top" wrapText="1"/>
    </xf>
    <xf numFmtId="1" fontId="1" fillId="0" borderId="0" xfId="0" applyNumberFormat="1" applyFont="1" applyAlignment="1">
      <alignment vertical="top" wrapText="1"/>
    </xf>
    <xf numFmtId="0" fontId="16" fillId="0" borderId="2" xfId="0" applyFont="1" applyBorder="1" applyAlignment="1">
      <alignment horizontal="center" vertical="top" wrapText="1"/>
    </xf>
    <xf numFmtId="0" fontId="0" fillId="0" borderId="21" xfId="0" applyBorder="1" applyAlignment="1">
      <alignment vertical="top" wrapText="1"/>
    </xf>
    <xf numFmtId="0" fontId="16" fillId="0" borderId="2" xfId="0" applyFont="1" applyBorder="1" applyAlignment="1">
      <alignment horizontal="left" vertical="top" wrapText="1"/>
    </xf>
    <xf numFmtId="1" fontId="1" fillId="0" borderId="0" xfId="0" applyNumberFormat="1" applyFont="1" applyAlignment="1">
      <alignment horizontal="left" vertical="top" wrapText="1"/>
    </xf>
    <xf numFmtId="1" fontId="18" fillId="0" borderId="0" xfId="0" applyNumberFormat="1" applyFont="1" applyAlignment="1">
      <alignment horizontal="left" vertical="top" wrapText="1"/>
    </xf>
    <xf numFmtId="0" fontId="0" fillId="0" borderId="21" xfId="0" applyBorder="1" applyAlignment="1">
      <alignment horizontal="left" vertical="top" wrapText="1"/>
    </xf>
    <xf numFmtId="0" fontId="11" fillId="0" borderId="0" xfId="0" applyFont="1" applyAlignment="1">
      <alignment horizontal="left" vertical="top" wrapText="1"/>
    </xf>
    <xf numFmtId="0" fontId="11" fillId="6" borderId="24" xfId="0" applyFont="1" applyFill="1" applyBorder="1" applyAlignment="1">
      <alignment horizontal="left" vertical="top" wrapText="1"/>
    </xf>
    <xf numFmtId="0" fontId="11" fillId="6" borderId="25" xfId="0" applyFont="1" applyFill="1" applyBorder="1" applyAlignment="1">
      <alignment horizontal="left" vertical="top" wrapText="1"/>
    </xf>
    <xf numFmtId="0" fontId="11" fillId="6" borderId="26" xfId="0" applyFont="1" applyFill="1" applyBorder="1" applyAlignment="1">
      <alignment horizontal="left" vertical="top" wrapText="1"/>
    </xf>
    <xf numFmtId="0" fontId="11" fillId="6" borderId="27" xfId="0" applyFont="1" applyFill="1" applyBorder="1" applyAlignment="1">
      <alignment horizontal="left" vertical="top" wrapText="1"/>
    </xf>
    <xf numFmtId="0" fontId="11" fillId="6" borderId="8" xfId="0" applyFont="1" applyFill="1" applyBorder="1" applyAlignment="1">
      <alignment horizontal="left" vertical="top" wrapText="1"/>
    </xf>
    <xf numFmtId="0" fontId="0" fillId="6" borderId="8" xfId="0" applyFill="1" applyBorder="1" applyAlignment="1">
      <alignment horizontal="left" vertical="top" wrapText="1"/>
    </xf>
    <xf numFmtId="0" fontId="0" fillId="6" borderId="8" xfId="0" applyFill="1" applyBorder="1" applyAlignment="1" applyProtection="1">
      <alignment horizontal="left" vertical="top" wrapText="1"/>
      <protection locked="0"/>
    </xf>
    <xf numFmtId="2" fontId="0" fillId="0" borderId="0" xfId="0" applyNumberFormat="1" applyAlignment="1">
      <alignment wrapText="1"/>
    </xf>
    <xf numFmtId="165" fontId="0" fillId="0" borderId="0" xfId="0" applyNumberFormat="1" applyAlignment="1">
      <alignment horizontal="left" vertical="top" wrapText="1"/>
    </xf>
    <xf numFmtId="2" fontId="0" fillId="0" borderId="0" xfId="0" applyNumberFormat="1" applyAlignment="1">
      <alignment horizontal="left" vertical="top" wrapText="1"/>
    </xf>
    <xf numFmtId="2" fontId="0" fillId="0" borderId="0" xfId="0" applyNumberFormat="1" applyAlignment="1">
      <alignment horizontal="right" vertical="top" wrapText="1"/>
    </xf>
    <xf numFmtId="0" fontId="20" fillId="0" borderId="28" xfId="0" applyFont="1" applyBorder="1" applyAlignment="1">
      <alignment horizontal="right" vertical="top" wrapText="1"/>
    </xf>
    <xf numFmtId="167" fontId="0" fillId="0" borderId="0" xfId="0" applyNumberFormat="1" applyAlignment="1">
      <alignment vertical="top" wrapText="1"/>
    </xf>
    <xf numFmtId="2" fontId="0" fillId="0" borderId="0" xfId="0" applyNumberFormat="1" applyAlignment="1">
      <alignment vertical="top" wrapText="1"/>
    </xf>
    <xf numFmtId="2" fontId="19" fillId="7" borderId="0" xfId="0" applyNumberFormat="1" applyFont="1" applyFill="1" applyAlignment="1">
      <alignment vertical="top" wrapText="1"/>
    </xf>
    <xf numFmtId="0" fontId="11" fillId="0" borderId="10" xfId="1" applyFont="1" applyBorder="1" applyAlignment="1">
      <alignment horizontal="center" vertical="top"/>
    </xf>
    <xf numFmtId="0" fontId="11" fillId="0" borderId="33" xfId="1" applyFont="1" applyBorder="1" applyAlignment="1">
      <alignment horizontal="center" vertical="top"/>
    </xf>
    <xf numFmtId="0" fontId="6" fillId="0" borderId="7" xfId="1" applyBorder="1" applyAlignment="1">
      <alignment vertical="top"/>
    </xf>
    <xf numFmtId="0" fontId="6" fillId="0" borderId="8" xfId="1" applyBorder="1" applyAlignment="1">
      <alignment horizontal="center" vertical="top"/>
    </xf>
    <xf numFmtId="0" fontId="11" fillId="0" borderId="9" xfId="1" applyFont="1" applyBorder="1" applyAlignment="1" applyProtection="1">
      <alignment vertical="top"/>
      <protection locked="0"/>
    </xf>
    <xf numFmtId="9" fontId="11" fillId="4" borderId="9" xfId="2" applyFont="1" applyFill="1" applyBorder="1" applyAlignment="1" applyProtection="1">
      <alignment vertical="top"/>
      <protection locked="0"/>
    </xf>
    <xf numFmtId="0" fontId="6" fillId="4" borderId="9" xfId="1" applyFill="1" applyBorder="1" applyAlignment="1" applyProtection="1">
      <alignment horizontal="center" vertical="top"/>
      <protection locked="0"/>
    </xf>
    <xf numFmtId="0" fontId="6" fillId="0" borderId="4" xfId="1" applyBorder="1" applyAlignment="1">
      <alignment vertical="top"/>
    </xf>
    <xf numFmtId="0" fontId="6" fillId="0" borderId="5" xfId="1" applyBorder="1" applyAlignment="1">
      <alignment vertical="top"/>
    </xf>
    <xf numFmtId="0" fontId="6" fillId="5" borderId="9" xfId="1" applyFill="1" applyBorder="1" applyAlignment="1">
      <alignment horizontal="right" vertical="top"/>
    </xf>
    <xf numFmtId="0" fontId="6" fillId="0" borderId="10" xfId="1" applyBorder="1" applyAlignment="1">
      <alignment vertical="top"/>
    </xf>
    <xf numFmtId="0" fontId="13" fillId="0" borderId="8" xfId="1" applyFont="1" applyBorder="1" applyAlignment="1">
      <alignment horizontal="center" vertical="top"/>
    </xf>
    <xf numFmtId="2" fontId="11" fillId="4" borderId="9" xfId="1" applyNumberFormat="1" applyFont="1" applyFill="1" applyBorder="1" applyAlignment="1" applyProtection="1">
      <alignment vertical="top"/>
      <protection locked="0"/>
    </xf>
    <xf numFmtId="0" fontId="6" fillId="0" borderId="6" xfId="1" applyBorder="1" applyAlignment="1">
      <alignment vertical="top"/>
    </xf>
    <xf numFmtId="0" fontId="11" fillId="0" borderId="10" xfId="1" applyFont="1" applyBorder="1" applyAlignment="1">
      <alignment vertical="top"/>
    </xf>
    <xf numFmtId="9" fontId="11" fillId="0" borderId="33" xfId="2" applyFont="1" applyFill="1" applyBorder="1" applyAlignment="1" applyProtection="1">
      <alignment vertical="top"/>
      <protection locked="0"/>
    </xf>
    <xf numFmtId="0" fontId="14" fillId="0" borderId="7" xfId="1" applyFont="1" applyBorder="1" applyAlignment="1">
      <alignment vertical="top"/>
    </xf>
    <xf numFmtId="0" fontId="0" fillId="0" borderId="21" xfId="0" applyBorder="1" applyAlignment="1">
      <alignment vertical="top"/>
    </xf>
    <xf numFmtId="0" fontId="6" fillId="0" borderId="16" xfId="1" applyBorder="1" applyAlignment="1">
      <alignment vertical="top"/>
    </xf>
    <xf numFmtId="0" fontId="6" fillId="0" borderId="11" xfId="1" applyBorder="1" applyAlignment="1">
      <alignment vertical="top"/>
    </xf>
    <xf numFmtId="2" fontId="11" fillId="5" borderId="9" xfId="1" applyNumberFormat="1" applyFont="1" applyFill="1" applyBorder="1" applyAlignment="1">
      <alignment vertical="top"/>
    </xf>
    <xf numFmtId="0" fontId="6" fillId="0" borderId="34" xfId="1" applyBorder="1" applyAlignment="1">
      <alignment vertical="top"/>
    </xf>
    <xf numFmtId="2" fontId="11" fillId="5" borderId="32" xfId="1" applyNumberFormat="1" applyFont="1" applyFill="1" applyBorder="1" applyAlignment="1">
      <alignment vertical="top"/>
    </xf>
    <xf numFmtId="166" fontId="0" fillId="0" borderId="0" xfId="0" applyNumberFormat="1" applyAlignment="1">
      <alignment vertical="top"/>
    </xf>
    <xf numFmtId="166" fontId="0" fillId="0" borderId="21" xfId="0" applyNumberFormat="1" applyBorder="1" applyAlignment="1">
      <alignment vertical="top"/>
    </xf>
    <xf numFmtId="167" fontId="6" fillId="0" borderId="6" xfId="1" applyNumberFormat="1" applyBorder="1" applyAlignment="1">
      <alignment vertical="top"/>
    </xf>
    <xf numFmtId="2" fontId="6" fillId="5" borderId="11" xfId="1" applyNumberFormat="1" applyFill="1" applyBorder="1" applyAlignment="1">
      <alignment vertical="top"/>
    </xf>
    <xf numFmtId="2" fontId="6" fillId="0" borderId="6" xfId="1" applyNumberFormat="1" applyBorder="1" applyAlignment="1">
      <alignment vertical="top"/>
    </xf>
    <xf numFmtId="167" fontId="6" fillId="5" borderId="6" xfId="1" applyNumberFormat="1" applyFill="1" applyBorder="1" applyAlignment="1">
      <alignment vertical="top"/>
    </xf>
    <xf numFmtId="2" fontId="6" fillId="0" borderId="9" xfId="1" applyNumberFormat="1" applyBorder="1" applyAlignment="1">
      <alignment vertical="top"/>
    </xf>
    <xf numFmtId="2" fontId="6" fillId="0" borderId="6" xfId="1" applyNumberFormat="1" applyBorder="1" applyAlignment="1">
      <alignment wrapText="1"/>
    </xf>
    <xf numFmtId="2" fontId="0" fillId="6" borderId="8" xfId="0" applyNumberFormat="1" applyFill="1" applyBorder="1" applyAlignment="1">
      <alignment horizontal="left" vertical="top" wrapText="1"/>
    </xf>
    <xf numFmtId="165" fontId="19" fillId="7" borderId="0" xfId="0" applyNumberFormat="1" applyFont="1" applyFill="1" applyAlignment="1">
      <alignment horizontal="left" vertical="top" wrapText="1"/>
    </xf>
    <xf numFmtId="2" fontId="0" fillId="0" borderId="21" xfId="0" applyNumberFormat="1" applyBorder="1" applyAlignment="1">
      <alignment horizontal="left" vertical="top" wrapText="1"/>
    </xf>
    <xf numFmtId="0" fontId="6" fillId="0" borderId="4" xfId="1" applyBorder="1" applyAlignment="1">
      <alignment horizontal="center" wrapText="1"/>
    </xf>
    <xf numFmtId="0" fontId="6" fillId="0" borderId="5" xfId="1" applyBorder="1" applyAlignment="1">
      <alignment horizontal="center" wrapText="1"/>
    </xf>
    <xf numFmtId="0" fontId="6" fillId="0" borderId="6" xfId="1" applyBorder="1" applyAlignment="1">
      <alignment horizontal="center" wrapText="1"/>
    </xf>
    <xf numFmtId="0" fontId="11" fillId="3" borderId="4" xfId="1" applyFont="1" applyFill="1" applyBorder="1" applyAlignment="1">
      <alignment horizontal="center" wrapText="1"/>
    </xf>
    <xf numFmtId="0" fontId="11" fillId="3" borderId="5" xfId="1" applyFont="1" applyFill="1" applyBorder="1" applyAlignment="1">
      <alignment horizontal="center" wrapText="1"/>
    </xf>
    <xf numFmtId="0" fontId="11" fillId="3" borderId="6" xfId="1" applyFont="1" applyFill="1" applyBorder="1" applyAlignment="1">
      <alignment horizontal="center" wrapText="1"/>
    </xf>
    <xf numFmtId="0" fontId="6" fillId="5" borderId="13" xfId="1" applyFill="1" applyBorder="1" applyAlignment="1">
      <alignment horizontal="left" wrapText="1"/>
    </xf>
    <xf numFmtId="0" fontId="6" fillId="5" borderId="14" xfId="1" applyFill="1" applyBorder="1" applyAlignment="1">
      <alignment horizontal="left" wrapText="1"/>
    </xf>
    <xf numFmtId="0" fontId="6" fillId="5" borderId="15" xfId="1" applyFill="1" applyBorder="1" applyAlignment="1">
      <alignment horizontal="left" wrapText="1"/>
    </xf>
    <xf numFmtId="0" fontId="6" fillId="0" borderId="4" xfId="1" applyBorder="1" applyAlignment="1">
      <alignment horizontal="left" wrapText="1"/>
    </xf>
    <xf numFmtId="0" fontId="6" fillId="0" borderId="5" xfId="1" applyBorder="1" applyAlignment="1">
      <alignment horizontal="left" wrapText="1"/>
    </xf>
    <xf numFmtId="0" fontId="6" fillId="0" borderId="12" xfId="1" applyBorder="1" applyAlignment="1">
      <alignment horizontal="left" wrapText="1"/>
    </xf>
    <xf numFmtId="0" fontId="6" fillId="0" borderId="7" xfId="1" applyBorder="1" applyAlignment="1">
      <alignment horizontal="left" wrapText="1"/>
    </xf>
    <xf numFmtId="0" fontId="6" fillId="0" borderId="8" xfId="1" applyBorder="1" applyAlignment="1">
      <alignment horizontal="left" wrapText="1"/>
    </xf>
    <xf numFmtId="0" fontId="14" fillId="0" borderId="7" xfId="1" applyFont="1" applyBorder="1" applyAlignment="1">
      <alignment horizontal="left" wrapText="1"/>
    </xf>
    <xf numFmtId="0" fontId="14" fillId="0" borderId="8" xfId="1" applyFont="1" applyBorder="1" applyAlignment="1">
      <alignment horizontal="left" wrapText="1"/>
    </xf>
    <xf numFmtId="0" fontId="11" fillId="3" borderId="1" xfId="1" applyFont="1" applyFill="1" applyBorder="1" applyAlignment="1">
      <alignment horizontal="center" wrapText="1"/>
    </xf>
    <xf numFmtId="0" fontId="11" fillId="3" borderId="2" xfId="1" applyFont="1" applyFill="1" applyBorder="1" applyAlignment="1">
      <alignment horizontal="center" wrapText="1"/>
    </xf>
    <xf numFmtId="0" fontId="11" fillId="3" borderId="3" xfId="1" applyFont="1" applyFill="1" applyBorder="1" applyAlignment="1">
      <alignment horizontal="center" wrapText="1"/>
    </xf>
    <xf numFmtId="0" fontId="11" fillId="0" borderId="4" xfId="1" applyFont="1" applyBorder="1" applyAlignment="1">
      <alignment horizontal="center" wrapText="1"/>
    </xf>
    <xf numFmtId="0" fontId="11" fillId="0" borderId="5" xfId="1" applyFont="1" applyBorder="1" applyAlignment="1">
      <alignment horizontal="center" wrapText="1"/>
    </xf>
    <xf numFmtId="0" fontId="11" fillId="0" borderId="6" xfId="1" applyFont="1" applyBorder="1" applyAlignment="1">
      <alignment horizontal="center" wrapText="1"/>
    </xf>
    <xf numFmtId="0" fontId="6" fillId="0" borderId="6" xfId="1" applyBorder="1" applyAlignment="1">
      <alignment horizontal="left" wrapText="1"/>
    </xf>
    <xf numFmtId="0" fontId="11" fillId="0" borderId="4" xfId="1" applyFont="1" applyBorder="1" applyAlignment="1">
      <alignment horizontal="left" wrapText="1"/>
    </xf>
    <xf numFmtId="0" fontId="11" fillId="0" borderId="5" xfId="1" applyFont="1" applyBorder="1" applyAlignment="1">
      <alignment horizontal="left" wrapText="1"/>
    </xf>
    <xf numFmtId="0" fontId="11" fillId="0" borderId="6" xfId="1" applyFont="1" applyBorder="1" applyAlignment="1">
      <alignment horizontal="left" wrapText="1"/>
    </xf>
    <xf numFmtId="2" fontId="6" fillId="0" borderId="4" xfId="1" applyNumberFormat="1" applyBorder="1" applyAlignment="1">
      <alignment horizontal="left" wrapText="1"/>
    </xf>
    <xf numFmtId="2" fontId="6" fillId="0" borderId="5" xfId="1" applyNumberFormat="1" applyBorder="1" applyAlignment="1">
      <alignment horizontal="left" wrapText="1"/>
    </xf>
    <xf numFmtId="2" fontId="6" fillId="0" borderId="12" xfId="1" applyNumberFormat="1" applyBorder="1" applyAlignment="1">
      <alignment horizontal="left" wrapText="1"/>
    </xf>
    <xf numFmtId="2" fontId="6" fillId="0" borderId="7" xfId="1" applyNumberFormat="1" applyBorder="1" applyAlignment="1">
      <alignment horizontal="left" wrapText="1"/>
    </xf>
    <xf numFmtId="2" fontId="6" fillId="0" borderId="8" xfId="1" applyNumberFormat="1" applyBorder="1" applyAlignment="1">
      <alignment horizontal="left" wrapText="1"/>
    </xf>
    <xf numFmtId="2" fontId="11" fillId="0" borderId="4" xfId="1" applyNumberFormat="1" applyFont="1" applyBorder="1" applyAlignment="1">
      <alignment horizontal="left" wrapText="1"/>
    </xf>
    <xf numFmtId="2" fontId="11" fillId="0" borderId="5" xfId="1" applyNumberFormat="1" applyFont="1" applyBorder="1" applyAlignment="1">
      <alignment horizontal="left" wrapText="1"/>
    </xf>
    <xf numFmtId="2" fontId="11" fillId="0" borderId="6" xfId="1" applyNumberFormat="1" applyFont="1" applyBorder="1" applyAlignment="1">
      <alignment horizontal="left" wrapText="1"/>
    </xf>
    <xf numFmtId="2" fontId="6" fillId="0" borderId="4" xfId="1" applyNumberFormat="1" applyBorder="1" applyAlignment="1">
      <alignment horizontal="center" wrapText="1"/>
    </xf>
    <xf numFmtId="2" fontId="6" fillId="0" borderId="5" xfId="1" applyNumberFormat="1" applyBorder="1" applyAlignment="1">
      <alignment horizontal="center" wrapText="1"/>
    </xf>
    <xf numFmtId="2" fontId="6" fillId="0" borderId="6" xfId="1" applyNumberFormat="1" applyBorder="1" applyAlignment="1">
      <alignment horizontal="center" wrapText="1"/>
    </xf>
    <xf numFmtId="2" fontId="11" fillId="3" borderId="4" xfId="1" applyNumberFormat="1" applyFont="1" applyFill="1" applyBorder="1" applyAlignment="1">
      <alignment horizontal="center" wrapText="1"/>
    </xf>
    <xf numFmtId="2" fontId="11" fillId="3" borderId="5" xfId="1" applyNumberFormat="1" applyFont="1" applyFill="1" applyBorder="1" applyAlignment="1">
      <alignment horizontal="center" wrapText="1"/>
    </xf>
    <xf numFmtId="2" fontId="11" fillId="3" borderId="6" xfId="1" applyNumberFormat="1" applyFont="1" applyFill="1" applyBorder="1" applyAlignment="1">
      <alignment horizontal="center" wrapText="1"/>
    </xf>
    <xf numFmtId="2" fontId="6" fillId="0" borderId="30" xfId="1" applyNumberFormat="1" applyBorder="1" applyAlignment="1">
      <alignment horizontal="left" wrapText="1"/>
    </xf>
    <xf numFmtId="2" fontId="6" fillId="0" borderId="21" xfId="1" applyNumberFormat="1" applyBorder="1" applyAlignment="1">
      <alignment horizontal="left" wrapText="1"/>
    </xf>
    <xf numFmtId="2" fontId="6" fillId="0" borderId="31" xfId="1" applyNumberFormat="1" applyBorder="1" applyAlignment="1">
      <alignment horizontal="left" wrapText="1"/>
    </xf>
    <xf numFmtId="2" fontId="14" fillId="0" borderId="7" xfId="1" applyNumberFormat="1" applyFont="1" applyBorder="1" applyAlignment="1">
      <alignment horizontal="left" wrapText="1"/>
    </xf>
    <xf numFmtId="2" fontId="14" fillId="0" borderId="8" xfId="1" applyNumberFormat="1" applyFont="1" applyBorder="1" applyAlignment="1">
      <alignment horizontal="left" wrapText="1"/>
    </xf>
    <xf numFmtId="2" fontId="6" fillId="0" borderId="16" xfId="1" applyNumberFormat="1" applyBorder="1" applyAlignment="1">
      <alignment horizontal="left" wrapText="1"/>
    </xf>
    <xf numFmtId="2" fontId="6" fillId="0" borderId="17" xfId="1" applyNumberFormat="1" applyBorder="1" applyAlignment="1">
      <alignment horizontal="left" wrapText="1"/>
    </xf>
    <xf numFmtId="2" fontId="6" fillId="0" borderId="29" xfId="1" applyNumberFormat="1" applyBorder="1" applyAlignment="1">
      <alignment horizontal="left" wrapText="1"/>
    </xf>
    <xf numFmtId="0" fontId="0" fillId="0" borderId="0" xfId="0" applyAlignment="1">
      <alignment horizontal="left" vertical="top" wrapText="1"/>
    </xf>
    <xf numFmtId="0" fontId="11" fillId="3" borderId="4" xfId="1" applyFont="1" applyFill="1" applyBorder="1" applyAlignment="1">
      <alignment horizontal="center" vertical="top" wrapText="1"/>
    </xf>
    <xf numFmtId="0" fontId="11" fillId="3" borderId="5" xfId="1" applyFont="1" applyFill="1" applyBorder="1" applyAlignment="1">
      <alignment horizontal="center" vertical="top" wrapText="1"/>
    </xf>
    <xf numFmtId="0" fontId="11" fillId="3" borderId="6" xfId="1" applyFont="1" applyFill="1" applyBorder="1" applyAlignment="1">
      <alignment horizontal="center" vertical="top" wrapText="1"/>
    </xf>
    <xf numFmtId="0" fontId="6" fillId="5" borderId="13" xfId="1" applyFill="1" applyBorder="1" applyAlignment="1">
      <alignment horizontal="left" vertical="top" wrapText="1"/>
    </xf>
    <xf numFmtId="0" fontId="6" fillId="5" borderId="14" xfId="1" applyFill="1" applyBorder="1" applyAlignment="1">
      <alignment horizontal="left" vertical="top" wrapText="1"/>
    </xf>
    <xf numFmtId="0" fontId="6" fillId="5" borderId="15" xfId="1" applyFill="1" applyBorder="1" applyAlignment="1">
      <alignment horizontal="left" vertical="top" wrapText="1"/>
    </xf>
    <xf numFmtId="0" fontId="6" fillId="0" borderId="7" xfId="1" applyBorder="1" applyAlignment="1">
      <alignment horizontal="left" vertical="top" wrapText="1"/>
    </xf>
    <xf numFmtId="0" fontId="6" fillId="0" borderId="8" xfId="1" applyBorder="1" applyAlignment="1">
      <alignment horizontal="left" vertical="top" wrapText="1"/>
    </xf>
    <xf numFmtId="0" fontId="14" fillId="0" borderId="7" xfId="1" applyFont="1" applyBorder="1" applyAlignment="1">
      <alignment horizontal="left" vertical="top" wrapText="1"/>
    </xf>
    <xf numFmtId="0" fontId="14" fillId="0" borderId="8" xfId="1" applyFont="1" applyBorder="1" applyAlignment="1">
      <alignment horizontal="left" vertical="top" wrapText="1"/>
    </xf>
    <xf numFmtId="0" fontId="6" fillId="0" borderId="4" xfId="1" applyBorder="1" applyAlignment="1">
      <alignment horizontal="center" vertical="top" wrapText="1"/>
    </xf>
    <xf numFmtId="0" fontId="6" fillId="0" borderId="5" xfId="1" applyBorder="1" applyAlignment="1">
      <alignment horizontal="center" vertical="top" wrapText="1"/>
    </xf>
    <xf numFmtId="0" fontId="6" fillId="0" borderId="6" xfId="1" applyBorder="1" applyAlignment="1">
      <alignment horizontal="center" vertical="top" wrapText="1"/>
    </xf>
    <xf numFmtId="0" fontId="6" fillId="0" borderId="4" xfId="1" applyBorder="1" applyAlignment="1">
      <alignment horizontal="left" vertical="top" wrapText="1"/>
    </xf>
    <xf numFmtId="0" fontId="6" fillId="0" borderId="5" xfId="1" applyBorder="1" applyAlignment="1">
      <alignment horizontal="left" vertical="top" wrapText="1"/>
    </xf>
    <xf numFmtId="0" fontId="6" fillId="0" borderId="12" xfId="1" applyBorder="1" applyAlignment="1">
      <alignment horizontal="left" vertical="top" wrapText="1"/>
    </xf>
    <xf numFmtId="0" fontId="6" fillId="0" borderId="16" xfId="1" applyBorder="1" applyAlignment="1">
      <alignment horizontal="center" vertical="top" wrapText="1"/>
    </xf>
    <xf numFmtId="0" fontId="6" fillId="0" borderId="17" xfId="1" applyBorder="1" applyAlignment="1">
      <alignment horizontal="center" vertical="top" wrapText="1"/>
    </xf>
    <xf numFmtId="0" fontId="6" fillId="0" borderId="11" xfId="1" applyBorder="1" applyAlignment="1">
      <alignment horizontal="center" vertical="top" wrapText="1"/>
    </xf>
    <xf numFmtId="0" fontId="6" fillId="0" borderId="18" xfId="1" applyBorder="1" applyAlignment="1">
      <alignment horizontal="center" vertical="top" wrapText="1"/>
    </xf>
    <xf numFmtId="0" fontId="6" fillId="0" borderId="19" xfId="1" applyBorder="1" applyAlignment="1">
      <alignment horizontal="center" vertical="top" wrapText="1"/>
    </xf>
    <xf numFmtId="0" fontId="6" fillId="0" borderId="20" xfId="1" applyBorder="1" applyAlignment="1">
      <alignment horizontal="center" vertical="top" wrapText="1"/>
    </xf>
    <xf numFmtId="0" fontId="11" fillId="0" borderId="4" xfId="1" applyFont="1" applyBorder="1" applyAlignment="1">
      <alignment horizontal="left" vertical="top" wrapText="1"/>
    </xf>
    <xf numFmtId="0" fontId="11" fillId="0" borderId="5" xfId="1" applyFont="1" applyBorder="1" applyAlignment="1">
      <alignment horizontal="left" vertical="top" wrapText="1"/>
    </xf>
    <xf numFmtId="0" fontId="11" fillId="0" borderId="6" xfId="1" applyFont="1" applyBorder="1" applyAlignment="1">
      <alignment horizontal="left" vertical="top" wrapText="1"/>
    </xf>
    <xf numFmtId="0" fontId="6" fillId="0" borderId="22" xfId="1" applyBorder="1" applyAlignment="1">
      <alignment horizontal="left" vertical="top" wrapText="1"/>
    </xf>
    <xf numFmtId="0" fontId="11" fillId="3" borderId="1" xfId="1" applyFont="1" applyFill="1" applyBorder="1" applyAlignment="1">
      <alignment horizontal="center" vertical="top" wrapText="1"/>
    </xf>
    <xf numFmtId="0" fontId="11" fillId="3" borderId="2" xfId="1" applyFont="1" applyFill="1" applyBorder="1" applyAlignment="1">
      <alignment horizontal="center" vertical="top" wrapText="1"/>
    </xf>
    <xf numFmtId="0" fontId="11" fillId="3" borderId="3" xfId="1" applyFont="1" applyFill="1" applyBorder="1" applyAlignment="1">
      <alignment horizontal="center" vertical="top" wrapText="1"/>
    </xf>
    <xf numFmtId="0" fontId="11" fillId="0" borderId="4" xfId="1" applyFont="1" applyBorder="1" applyAlignment="1">
      <alignment horizontal="center" vertical="top" wrapText="1"/>
    </xf>
    <xf numFmtId="0" fontId="11" fillId="0" borderId="5" xfId="1" applyFont="1" applyBorder="1" applyAlignment="1">
      <alignment horizontal="center" vertical="top" wrapText="1"/>
    </xf>
    <xf numFmtId="0" fontId="11" fillId="0" borderId="6" xfId="1" applyFont="1" applyBorder="1" applyAlignment="1">
      <alignment horizontal="center" vertical="top" wrapText="1"/>
    </xf>
    <xf numFmtId="0" fontId="0" fillId="0" borderId="8" xfId="0" applyBorder="1" applyAlignment="1">
      <alignment horizontal="left" vertical="top" wrapText="1"/>
    </xf>
    <xf numFmtId="0" fontId="0" fillId="0" borderId="0" xfId="0" applyAlignment="1">
      <alignment horizontal="left" vertical="center" wrapText="1"/>
    </xf>
    <xf numFmtId="0" fontId="0" fillId="0" borderId="0" xfId="0" applyAlignment="1">
      <alignment horizontal="center"/>
    </xf>
    <xf numFmtId="0" fontId="0" fillId="0" borderId="0" xfId="0" applyAlignment="1">
      <alignment horizontal="center" vertical="top"/>
    </xf>
    <xf numFmtId="0" fontId="0" fillId="0" borderId="0" xfId="0" applyAlignment="1">
      <alignment horizontal="center" vertical="top" wrapText="1"/>
    </xf>
    <xf numFmtId="0" fontId="23" fillId="9" borderId="8" xfId="0" applyFont="1" applyFill="1" applyBorder="1" applyAlignment="1">
      <alignment horizontal="center"/>
    </xf>
    <xf numFmtId="0" fontId="22" fillId="9" borderId="22" xfId="0" applyFont="1" applyFill="1" applyBorder="1" applyAlignment="1">
      <alignment horizontal="center"/>
    </xf>
    <xf numFmtId="0" fontId="22" fillId="9" borderId="12" xfId="0" applyFont="1" applyFill="1" applyBorder="1" applyAlignment="1">
      <alignment horizontal="center"/>
    </xf>
    <xf numFmtId="0" fontId="23" fillId="8" borderId="8" xfId="0" applyFont="1" applyFill="1" applyBorder="1" applyAlignment="1" applyProtection="1">
      <alignment horizontal="center"/>
      <protection locked="0"/>
    </xf>
    <xf numFmtId="0" fontId="22" fillId="6" borderId="22" xfId="0" applyFont="1" applyFill="1" applyBorder="1" applyAlignment="1" applyProtection="1">
      <alignment horizontal="center"/>
      <protection locked="0"/>
    </xf>
    <xf numFmtId="0" fontId="22" fillId="6" borderId="5" xfId="0" applyFont="1" applyFill="1" applyBorder="1" applyAlignment="1" applyProtection="1">
      <alignment horizontal="center"/>
      <protection locked="0"/>
    </xf>
    <xf numFmtId="0" fontId="23" fillId="6" borderId="12" xfId="0" applyFont="1" applyFill="1" applyBorder="1" applyAlignment="1" applyProtection="1">
      <alignment horizontal="center"/>
      <protection locked="0"/>
    </xf>
    <xf numFmtId="0" fontId="22" fillId="0" borderId="19" xfId="0" applyFont="1" applyBorder="1" applyAlignment="1">
      <alignment horizontal="center"/>
    </xf>
    <xf numFmtId="0" fontId="22" fillId="8" borderId="8" xfId="0" applyFont="1" applyFill="1" applyBorder="1" applyAlignment="1" applyProtection="1">
      <alignment horizontal="center"/>
      <protection locked="0"/>
    </xf>
    <xf numFmtId="0" fontId="22" fillId="8" borderId="22" xfId="0" applyFont="1" applyFill="1" applyBorder="1" applyAlignment="1" applyProtection="1">
      <alignment horizontal="center"/>
      <protection locked="0"/>
    </xf>
    <xf numFmtId="0" fontId="22" fillId="8" borderId="5" xfId="0" applyFont="1" applyFill="1" applyBorder="1" applyAlignment="1" applyProtection="1">
      <alignment horizontal="center"/>
      <protection locked="0"/>
    </xf>
    <xf numFmtId="0" fontId="22" fillId="8" borderId="12" xfId="0" applyFont="1" applyFill="1" applyBorder="1" applyAlignment="1" applyProtection="1">
      <alignment horizontal="center"/>
      <protection locked="0"/>
    </xf>
    <xf numFmtId="0" fontId="23" fillId="6" borderId="8" xfId="0" applyFont="1" applyFill="1" applyBorder="1" applyAlignment="1">
      <alignment horizontal="center"/>
    </xf>
    <xf numFmtId="0" fontId="0" fillId="0" borderId="0" xfId="0" applyAlignment="1">
      <alignment vertical="top" wrapText="1"/>
    </xf>
    <xf numFmtId="0" fontId="6" fillId="5" borderId="13" xfId="1" applyFill="1" applyBorder="1" applyAlignment="1">
      <alignment horizontal="left" vertical="top"/>
    </xf>
    <xf numFmtId="0" fontId="6" fillId="5" borderId="14" xfId="1" applyFill="1" applyBorder="1" applyAlignment="1">
      <alignment horizontal="left" vertical="top"/>
    </xf>
    <xf numFmtId="0" fontId="6" fillId="5" borderId="15" xfId="1" applyFill="1" applyBorder="1" applyAlignment="1">
      <alignment horizontal="left" vertical="top"/>
    </xf>
    <xf numFmtId="0" fontId="11" fillId="3" borderId="4" xfId="1" applyFont="1" applyFill="1" applyBorder="1" applyAlignment="1">
      <alignment horizontal="center" vertical="top"/>
    </xf>
    <xf numFmtId="0" fontId="11" fillId="3" borderId="6" xfId="1" applyFont="1" applyFill="1" applyBorder="1" applyAlignment="1">
      <alignment horizontal="center" vertical="top"/>
    </xf>
    <xf numFmtId="0" fontId="6" fillId="0" borderId="7" xfId="1" applyBorder="1" applyAlignment="1">
      <alignment horizontal="left" vertical="top"/>
    </xf>
    <xf numFmtId="0" fontId="6" fillId="0" borderId="8" xfId="1" applyBorder="1" applyAlignment="1">
      <alignment horizontal="left" vertical="top"/>
    </xf>
    <xf numFmtId="0" fontId="14" fillId="0" borderId="7" xfId="1" applyFont="1" applyBorder="1" applyAlignment="1">
      <alignment horizontal="left" vertical="top"/>
    </xf>
    <xf numFmtId="0" fontId="14" fillId="0" borderId="8" xfId="1" applyFont="1" applyBorder="1" applyAlignment="1">
      <alignment horizontal="left" vertical="top"/>
    </xf>
    <xf numFmtId="0" fontId="6" fillId="0" borderId="4" xfId="1" applyBorder="1" applyAlignment="1">
      <alignment horizontal="center" vertical="top"/>
    </xf>
    <xf numFmtId="0" fontId="6" fillId="0" borderId="5" xfId="1" applyBorder="1" applyAlignment="1">
      <alignment horizontal="center" vertical="top"/>
    </xf>
    <xf numFmtId="0" fontId="6" fillId="0" borderId="6" xfId="1" applyBorder="1" applyAlignment="1">
      <alignment horizontal="center" vertical="top"/>
    </xf>
    <xf numFmtId="0" fontId="11" fillId="3" borderId="5" xfId="1" applyFont="1" applyFill="1" applyBorder="1" applyAlignment="1">
      <alignment horizontal="center" vertical="top"/>
    </xf>
    <xf numFmtId="2" fontId="6" fillId="0" borderId="4" xfId="1" applyNumberFormat="1" applyBorder="1" applyAlignment="1">
      <alignment horizontal="left" vertical="top"/>
    </xf>
    <xf numFmtId="2" fontId="6" fillId="0" borderId="5" xfId="1" applyNumberFormat="1" applyBorder="1" applyAlignment="1">
      <alignment horizontal="left" vertical="top"/>
    </xf>
    <xf numFmtId="2" fontId="6" fillId="0" borderId="12" xfId="1" applyNumberFormat="1" applyBorder="1" applyAlignment="1">
      <alignment horizontal="left" vertical="top"/>
    </xf>
    <xf numFmtId="2" fontId="11" fillId="3" borderId="4" xfId="1" applyNumberFormat="1" applyFont="1" applyFill="1" applyBorder="1" applyAlignment="1">
      <alignment horizontal="center" vertical="top"/>
    </xf>
    <xf numFmtId="2" fontId="11" fillId="3" borderId="5" xfId="1" applyNumberFormat="1" applyFont="1" applyFill="1" applyBorder="1" applyAlignment="1">
      <alignment horizontal="center" vertical="top"/>
    </xf>
    <xf numFmtId="2" fontId="11" fillId="3" borderId="6" xfId="1" applyNumberFormat="1" applyFont="1" applyFill="1" applyBorder="1" applyAlignment="1">
      <alignment horizontal="center" vertical="top"/>
    </xf>
    <xf numFmtId="2" fontId="6" fillId="0" borderId="7" xfId="1" applyNumberFormat="1" applyBorder="1" applyAlignment="1">
      <alignment horizontal="left" vertical="top"/>
    </xf>
    <xf numFmtId="2" fontId="6" fillId="0" borderId="8" xfId="1" applyNumberFormat="1" applyBorder="1" applyAlignment="1">
      <alignment horizontal="left" vertical="top"/>
    </xf>
    <xf numFmtId="0" fontId="16" fillId="0" borderId="2" xfId="0" applyFont="1" applyBorder="1" applyAlignment="1">
      <alignment horizontal="center" vertical="top"/>
    </xf>
    <xf numFmtId="0" fontId="11" fillId="3" borderId="1" xfId="1" applyFont="1" applyFill="1" applyBorder="1" applyAlignment="1">
      <alignment horizontal="center" vertical="top"/>
    </xf>
    <xf numFmtId="0" fontId="11" fillId="3" borderId="2" xfId="1" applyFont="1" applyFill="1" applyBorder="1" applyAlignment="1">
      <alignment horizontal="center" vertical="top"/>
    </xf>
    <xf numFmtId="0" fontId="11" fillId="3" borderId="3" xfId="1" applyFont="1" applyFill="1" applyBorder="1" applyAlignment="1">
      <alignment horizontal="center" vertical="top"/>
    </xf>
    <xf numFmtId="0" fontId="11" fillId="0" borderId="4" xfId="1" applyFont="1" applyBorder="1" applyAlignment="1">
      <alignment horizontal="center" vertical="top"/>
    </xf>
    <xf numFmtId="0" fontId="11" fillId="0" borderId="5" xfId="1" applyFont="1" applyBorder="1" applyAlignment="1">
      <alignment horizontal="center" vertical="top"/>
    </xf>
    <xf numFmtId="0" fontId="11" fillId="0" borderId="6" xfId="1" applyFont="1" applyBorder="1" applyAlignment="1">
      <alignment horizontal="center" vertical="top"/>
    </xf>
  </cellXfs>
  <cellStyles count="5">
    <cellStyle name="Normal" xfId="0" builtinId="0"/>
    <cellStyle name="Normal 2" xfId="3" xr:uid="{9D2278C3-BA8B-4044-888F-918525823BE4}"/>
    <cellStyle name="Normal 3 2" xfId="1" xr:uid="{B959C2C7-5BF1-4D71-A410-EA1E6CE75DE9}"/>
    <cellStyle name="Percent" xfId="4" builtinId="5"/>
    <cellStyle name="Percent 2" xfId="2" xr:uid="{E5AA24A0-0594-4D9C-A2AC-B881A4636765}"/>
  </cellStyles>
  <dxfs count="24">
    <dxf>
      <fill>
        <patternFill>
          <bgColor rgb="FF92D050"/>
        </patternFill>
      </fill>
    </dxf>
    <dxf>
      <fill>
        <patternFill>
          <bgColor rgb="FF92D050"/>
        </patternFill>
      </fill>
    </dxf>
    <dxf>
      <fill>
        <patternFill>
          <bgColor rgb="FF92D050"/>
        </patternFill>
      </fill>
    </dxf>
    <dxf>
      <fill>
        <patternFill>
          <bgColor rgb="FF92D050"/>
        </patternFill>
      </fill>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Interaction Between Locality and Trip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'Question 5'!$A$16</c:f>
              <c:strCache>
                <c:ptCount val="1"/>
                <c:pt idx="0">
                  <c:v>Metro</c:v>
                </c:pt>
              </c:strCache>
            </c:strRef>
          </c:tx>
          <c:spPr>
            <a:ln w="28575" cap="rnd">
              <a:solidFill>
                <a:schemeClr val="accent1"/>
              </a:solidFill>
              <a:round/>
            </a:ln>
            <a:effectLst/>
          </c:spPr>
          <c:marker>
            <c:symbol val="none"/>
          </c:marker>
          <c:cat>
            <c:strRef>
              <c:f>'Question 5'!$B$15:$D$15</c:f>
              <c:strCache>
                <c:ptCount val="3"/>
                <c:pt idx="0">
                  <c:v>Holiday</c:v>
                </c:pt>
                <c:pt idx="1">
                  <c:v>Private</c:v>
                </c:pt>
                <c:pt idx="2">
                  <c:v>Work</c:v>
                </c:pt>
              </c:strCache>
            </c:strRef>
          </c:cat>
          <c:val>
            <c:numRef>
              <c:f>'Question 5'!$B$16:$D$16</c:f>
              <c:numCache>
                <c:formatCode>General</c:formatCode>
                <c:ptCount val="3"/>
                <c:pt idx="0">
                  <c:v>11400</c:v>
                </c:pt>
                <c:pt idx="1">
                  <c:v>11000</c:v>
                </c:pt>
                <c:pt idx="2">
                  <c:v>13000</c:v>
                </c:pt>
              </c:numCache>
            </c:numRef>
          </c:val>
          <c:smooth val="0"/>
          <c:extLst>
            <c:ext xmlns:c16="http://schemas.microsoft.com/office/drawing/2014/chart" uri="{C3380CC4-5D6E-409C-BE32-E72D297353CC}">
              <c16:uniqueId val="{00000000-276A-BD49-AC97-7B156D9163D0}"/>
            </c:ext>
          </c:extLst>
        </c:ser>
        <c:ser>
          <c:idx val="1"/>
          <c:order val="1"/>
          <c:tx>
            <c:strRef>
              <c:f>'Question 5'!$A$17</c:f>
              <c:strCache>
                <c:ptCount val="1"/>
                <c:pt idx="0">
                  <c:v>Regional</c:v>
                </c:pt>
              </c:strCache>
            </c:strRef>
          </c:tx>
          <c:spPr>
            <a:ln w="28575" cap="rnd">
              <a:solidFill>
                <a:schemeClr val="accent2"/>
              </a:solidFill>
              <a:round/>
            </a:ln>
            <a:effectLst/>
          </c:spPr>
          <c:marker>
            <c:symbol val="none"/>
          </c:marker>
          <c:cat>
            <c:strRef>
              <c:f>'Question 5'!$B$15:$D$15</c:f>
              <c:strCache>
                <c:ptCount val="3"/>
                <c:pt idx="0">
                  <c:v>Holiday</c:v>
                </c:pt>
                <c:pt idx="1">
                  <c:v>Private</c:v>
                </c:pt>
                <c:pt idx="2">
                  <c:v>Work</c:v>
                </c:pt>
              </c:strCache>
            </c:strRef>
          </c:cat>
          <c:val>
            <c:numRef>
              <c:f>'Question 5'!$B$17:$D$17</c:f>
              <c:numCache>
                <c:formatCode>General</c:formatCode>
                <c:ptCount val="3"/>
                <c:pt idx="0">
                  <c:v>11400</c:v>
                </c:pt>
                <c:pt idx="1">
                  <c:v>13400</c:v>
                </c:pt>
                <c:pt idx="2">
                  <c:v>10000</c:v>
                </c:pt>
              </c:numCache>
            </c:numRef>
          </c:val>
          <c:smooth val="0"/>
          <c:extLst>
            <c:ext xmlns:c16="http://schemas.microsoft.com/office/drawing/2014/chart" uri="{C3380CC4-5D6E-409C-BE32-E72D297353CC}">
              <c16:uniqueId val="{00000001-276A-BD49-AC97-7B156D9163D0}"/>
            </c:ext>
          </c:extLst>
        </c:ser>
        <c:dLbls>
          <c:showLegendKey val="0"/>
          <c:showVal val="0"/>
          <c:showCatName val="0"/>
          <c:showSerName val="0"/>
          <c:showPercent val="0"/>
          <c:showBubbleSize val="0"/>
        </c:dLbls>
        <c:smooth val="0"/>
        <c:axId val="1868685503"/>
        <c:axId val="1623861151"/>
      </c:lineChart>
      <c:catAx>
        <c:axId val="186868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861151"/>
        <c:crosses val="autoZero"/>
        <c:auto val="1"/>
        <c:lblAlgn val="ctr"/>
        <c:lblOffset val="100"/>
        <c:noMultiLvlLbl val="0"/>
      </c:catAx>
      <c:valAx>
        <c:axId val="162386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685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165100</xdr:colOff>
      <xdr:row>0</xdr:row>
      <xdr:rowOff>165100</xdr:rowOff>
    </xdr:to>
    <xdr:pic>
      <xdr:nvPicPr>
        <xdr:cNvPr id="2" name="Picture 2">
          <a:extLst>
            <a:ext uri="{FF2B5EF4-FFF2-40B4-BE49-F238E27FC236}">
              <a16:creationId xmlns:a16="http://schemas.microsoft.com/office/drawing/2014/main" id="{462786A4-156E-4D96-B161-CB05C00286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65100" cy="165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4534</xdr:colOff>
      <xdr:row>34</xdr:row>
      <xdr:rowOff>21525</xdr:rowOff>
    </xdr:from>
    <xdr:to>
      <xdr:col>9</xdr:col>
      <xdr:colOff>585107</xdr:colOff>
      <xdr:row>39</xdr:row>
      <xdr:rowOff>184755</xdr:rowOff>
    </xdr:to>
    <xdr:graphicFrame macro="">
      <xdr:nvGraphicFramePr>
        <xdr:cNvPr id="2" name="Chart 1">
          <a:extLst>
            <a:ext uri="{FF2B5EF4-FFF2-40B4-BE49-F238E27FC236}">
              <a16:creationId xmlns:a16="http://schemas.microsoft.com/office/drawing/2014/main" id="{4A813D46-2C19-0ADF-A785-5A0F7B5F3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eakin365-my.sharepoint.com/personal/dilal_saundage_deakin_edu_au/Documents/Teaching%20Portfolio/Teaching%20T2%202023/MIS771/A1/A1T22023.xlsx" TargetMode="External"/><Relationship Id="rId1" Type="http://schemas.openxmlformats.org/officeDocument/2006/relationships/externalLinkPath" Target="https://deakin365-my.sharepoint.com/personal/dilal_saundage_deakin_edu_au/Documents/Teaching%20Portfolio/Teaching%20T2%202023/MIS771/A1/A1T2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pyright Statment "/>
      <sheetName val="Data Description"/>
      <sheetName val="CustomerDataSet"/>
      <sheetName val="Experiment"/>
      <sheetName val="Switching_Provider"/>
    </sheetNames>
    <sheetDataSet>
      <sheetData sheetId="0" refreshError="1"/>
      <sheetData sheetId="1" refreshError="1"/>
      <sheetData sheetId="2"/>
      <sheetData sheetId="3" refreshError="1"/>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506.506908217591" createdVersion="8" refreshedVersion="8" minRefreshableVersion="3" recordCount="102" xr:uid="{CC24AF09-71AF-4949-8073-9E09E2180684}">
  <cacheSource type="worksheet">
    <worksheetSource ref="A1:N103" sheet="EVSurvey "/>
  </cacheSource>
  <cacheFields count="14">
    <cacheField name="Index" numFmtId="1">
      <sharedItems containsSemiMixedTypes="0" containsString="0" containsNumber="1" containsInteger="1" minValue="1" maxValue="102"/>
    </cacheField>
    <cacheField name="State" numFmtId="0">
      <sharedItems/>
    </cacheField>
    <cacheField name="Locality" numFmtId="0">
      <sharedItems count="2">
        <s v="Metro"/>
        <s v="Regional"/>
      </sharedItems>
    </cacheField>
    <cacheField name="Age" numFmtId="1">
      <sharedItems containsSemiMixedTypes="0" containsString="0" containsNumber="1" containsInteger="1" minValue="27" maxValue="57"/>
    </cacheField>
    <cacheField name="Household_Type" numFmtId="0">
      <sharedItems/>
    </cacheField>
    <cacheField name="Annual_KM" numFmtId="1">
      <sharedItems containsSemiMixedTypes="0" containsString="0" containsNumber="1" containsInteger="1" minValue="8000" maxValue="18000" count="10">
        <n v="15000"/>
        <n v="12000"/>
        <n v="10000"/>
        <n v="8000"/>
        <n v="9000"/>
        <n v="11000"/>
        <n v="13000"/>
        <n v="14000"/>
        <n v="16000"/>
        <n v="18000"/>
      </sharedItems>
    </cacheField>
    <cacheField name="Trip_Type" numFmtId="0">
      <sharedItems/>
    </cacheField>
    <cacheField name="Reason" numFmtId="0">
      <sharedItems/>
    </cacheField>
    <cacheField name="EV_Towing" numFmtId="0">
      <sharedItems count="2">
        <s v="No"/>
        <s v="Yes"/>
      </sharedItems>
    </cacheField>
    <cacheField name="Charge_at_Work" numFmtId="1">
      <sharedItems containsSemiMixedTypes="0" containsString="0" containsNumber="1" containsInteger="1" minValue="2" maxValue="5"/>
    </cacheField>
    <cacheField name="Charge_at_Home" numFmtId="1">
      <sharedItems containsSemiMixedTypes="0" containsString="0" containsNumber="1" containsInteger="1" minValue="3" maxValue="7"/>
    </cacheField>
    <cacheField name="Calculate_Savings" numFmtId="0">
      <sharedItems/>
    </cacheField>
    <cacheField name="Fuel_Savings" numFmtId="1">
      <sharedItems containsSemiMixedTypes="0" containsString="0" containsNumber="1" containsInteger="1" minValue="2000" maxValue="4500"/>
    </cacheField>
    <cacheField name="Maintenance_Savings" numFmtId="1">
      <sharedItems containsSemiMixedTypes="0" containsString="0" containsNumber="1" containsInteger="1" minValue="600" maxValue="95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512.289379629627" createdVersion="8" refreshedVersion="8" minRefreshableVersion="3" recordCount="102" xr:uid="{E329E9F9-D22A-754E-85A3-7EBD8DDBFC75}">
  <cacheSource type="worksheet">
    <worksheetSource ref="A1:O103" sheet="EVSurvey "/>
  </cacheSource>
  <cacheFields count="15">
    <cacheField name="Index" numFmtId="1">
      <sharedItems containsSemiMixedTypes="0" containsString="0" containsNumber="1" containsInteger="1" minValue="1" maxValue="102"/>
    </cacheField>
    <cacheField name="State" numFmtId="0">
      <sharedItems/>
    </cacheField>
    <cacheField name="Locality" numFmtId="0">
      <sharedItems/>
    </cacheField>
    <cacheField name="Age" numFmtId="1">
      <sharedItems containsSemiMixedTypes="0" containsString="0" containsNumber="1" containsInteger="1" minValue="27" maxValue="57"/>
    </cacheField>
    <cacheField name="Household_Type" numFmtId="0">
      <sharedItems/>
    </cacheField>
    <cacheField name="Annual_KM" numFmtId="1">
      <sharedItems containsSemiMixedTypes="0" containsString="0" containsNumber="1" containsInteger="1" minValue="8000" maxValue="18000"/>
    </cacheField>
    <cacheField name="Trip_Type" numFmtId="0">
      <sharedItems/>
    </cacheField>
    <cacheField name="Reason" numFmtId="0">
      <sharedItems count="5">
        <s v="Environment"/>
        <s v="Technology"/>
        <s v="Economic"/>
        <s v="Fuel Security"/>
        <s v="Health"/>
      </sharedItems>
    </cacheField>
    <cacheField name="EV_Towing" numFmtId="0">
      <sharedItems/>
    </cacheField>
    <cacheField name="Charge_at_Work" numFmtId="1">
      <sharedItems containsSemiMixedTypes="0" containsString="0" containsNumber="1" containsInteger="1" minValue="2" maxValue="5"/>
    </cacheField>
    <cacheField name="Charge_at_Home" numFmtId="1">
      <sharedItems containsSemiMixedTypes="0" containsString="0" containsNumber="1" containsInteger="1" minValue="3" maxValue="7"/>
    </cacheField>
    <cacheField name="Calculate_Savings" numFmtId="0">
      <sharedItems/>
    </cacheField>
    <cacheField name="Fuel_Savings" numFmtId="1">
      <sharedItems containsSemiMixedTypes="0" containsString="0" containsNumber="1" containsInteger="1" minValue="2000" maxValue="4500"/>
    </cacheField>
    <cacheField name="Maintenance_Savings" numFmtId="1">
      <sharedItems containsSemiMixedTypes="0" containsString="0" containsNumber="1" containsInteger="1" minValue="600" maxValue="950"/>
    </cacheField>
    <cacheField name="Charge_at_home_N" numFmtId="1">
      <sharedItems count="2">
        <s v="More than 5 times per week"/>
        <s v="Less than 5 times per week"/>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n v="1"/>
    <s v="Queensland"/>
    <x v="0"/>
    <n v="45"/>
    <s v="Couple with Children"/>
    <x v="0"/>
    <s v="Work"/>
    <s v="Environment"/>
    <x v="0"/>
    <n v="3"/>
    <n v="7"/>
    <s v="No"/>
    <n v="4000"/>
    <n v="600"/>
  </r>
  <r>
    <n v="2"/>
    <s v="Tasmania"/>
    <x v="1"/>
    <n v="32"/>
    <s v="Couple with Children"/>
    <x v="1"/>
    <s v="Private"/>
    <s v="Technology"/>
    <x v="1"/>
    <n v="2"/>
    <n v="5"/>
    <s v="Yes"/>
    <n v="3000"/>
    <n v="750"/>
  </r>
  <r>
    <n v="3"/>
    <s v="New South Wales"/>
    <x v="0"/>
    <n v="50"/>
    <s v="Couple with no Children"/>
    <x v="2"/>
    <s v="Holiday"/>
    <s v="Economic"/>
    <x v="1"/>
    <n v="4"/>
    <n v="6"/>
    <s v="Yes"/>
    <n v="3500"/>
    <n v="700"/>
  </r>
  <r>
    <n v="4"/>
    <s v="Victoria"/>
    <x v="1"/>
    <n v="28"/>
    <s v="Single Person"/>
    <x v="3"/>
    <s v="Work"/>
    <s v="Fuel Security"/>
    <x v="0"/>
    <n v="5"/>
    <n v="4"/>
    <s v="Yes"/>
    <n v="2500"/>
    <n v="850"/>
  </r>
  <r>
    <n v="5"/>
    <s v="New South Wales"/>
    <x v="0"/>
    <n v="55"/>
    <s v="Single Parent"/>
    <x v="4"/>
    <s v="Private"/>
    <s v="Environment"/>
    <x v="1"/>
    <n v="3"/>
    <n v="7"/>
    <s v="No"/>
    <n v="2800"/>
    <n v="800"/>
  </r>
  <r>
    <n v="6"/>
    <s v="New South Wales"/>
    <x v="1"/>
    <n v="40"/>
    <s v="Couple with Children"/>
    <x v="5"/>
    <s v="Work"/>
    <s v="Health"/>
    <x v="1"/>
    <n v="2"/>
    <n v="5"/>
    <s v="No"/>
    <n v="3200"/>
    <n v="750"/>
  </r>
  <r>
    <n v="7"/>
    <s v="New South Wales"/>
    <x v="0"/>
    <n v="38"/>
    <s v="Couple with no Children"/>
    <x v="6"/>
    <s v="Private"/>
    <s v="Fuel Security"/>
    <x v="0"/>
    <n v="3"/>
    <n v="6"/>
    <s v="No"/>
    <n v="3800"/>
    <n v="700"/>
  </r>
  <r>
    <n v="8"/>
    <s v="Victoria"/>
    <x v="1"/>
    <n v="48"/>
    <s v="Single Person"/>
    <x v="7"/>
    <s v="Holiday"/>
    <s v="Technology"/>
    <x v="1"/>
    <n v="4"/>
    <n v="4"/>
    <s v="Yes"/>
    <n v="4200"/>
    <n v="650"/>
  </r>
  <r>
    <n v="9"/>
    <s v="New South Wales"/>
    <x v="0"/>
    <n v="42"/>
    <s v="Couple with Children"/>
    <x v="8"/>
    <s v="Work"/>
    <s v="Economic"/>
    <x v="1"/>
    <n v="5"/>
    <n v="3"/>
    <s v="Yes"/>
    <n v="3800"/>
    <n v="750"/>
  </r>
  <r>
    <n v="10"/>
    <s v="Victoria"/>
    <x v="1"/>
    <n v="30"/>
    <s v="Single Parent"/>
    <x v="2"/>
    <s v="Private"/>
    <s v="Environment"/>
    <x v="1"/>
    <n v="3"/>
    <n v="6"/>
    <s v="No"/>
    <n v="2900"/>
    <n v="800"/>
  </r>
  <r>
    <n v="11"/>
    <s v="Queensland"/>
    <x v="0"/>
    <n v="52"/>
    <s v="Couple with no Children"/>
    <x v="1"/>
    <s v="Holiday"/>
    <s v="Technology"/>
    <x v="1"/>
    <n v="2"/>
    <n v="7"/>
    <s v="Yes"/>
    <n v="3400"/>
    <n v="700"/>
  </r>
  <r>
    <n v="12"/>
    <s v="New South Wales"/>
    <x v="1"/>
    <n v="35"/>
    <s v="Couple with Children"/>
    <x v="5"/>
    <s v="Work"/>
    <s v="Fuel Security"/>
    <x v="0"/>
    <n v="3"/>
    <n v="5"/>
    <s v="Yes"/>
    <n v="3600"/>
    <n v="750"/>
  </r>
  <r>
    <n v="13"/>
    <s v="New South Wales"/>
    <x v="0"/>
    <n v="47"/>
    <s v="Single Person"/>
    <x v="4"/>
    <s v="Private"/>
    <s v="Health"/>
    <x v="1"/>
    <n v="4"/>
    <n v="4"/>
    <s v="No"/>
    <n v="4100"/>
    <n v="650"/>
  </r>
  <r>
    <n v="14"/>
    <s v="Queensland"/>
    <x v="1"/>
    <n v="33"/>
    <s v="Single Parent"/>
    <x v="3"/>
    <s v="Holiday"/>
    <s v="Fuel Security"/>
    <x v="0"/>
    <n v="5"/>
    <n v="6"/>
    <s v="No"/>
    <n v="2600"/>
    <n v="850"/>
  </r>
  <r>
    <n v="15"/>
    <s v="Victoria"/>
    <x v="0"/>
    <n v="57"/>
    <s v="Couple with Children"/>
    <x v="6"/>
    <s v="Work"/>
    <s v="Technology"/>
    <x v="1"/>
    <n v="2"/>
    <n v="5"/>
    <s v="Yes"/>
    <n v="3900"/>
    <n v="700"/>
  </r>
  <r>
    <n v="16"/>
    <s v="Queensland"/>
    <x v="1"/>
    <n v="37"/>
    <s v="Couple with no Children"/>
    <x v="0"/>
    <s v="Private"/>
    <s v="Economic"/>
    <x v="1"/>
    <n v="3"/>
    <n v="6"/>
    <s v="Yes"/>
    <n v="3300"/>
    <n v="750"/>
  </r>
  <r>
    <n v="17"/>
    <s v="New South Wales"/>
    <x v="0"/>
    <n v="45"/>
    <s v="Single Person"/>
    <x v="7"/>
    <s v="Holiday"/>
    <s v="Environment"/>
    <x v="1"/>
    <n v="4"/>
    <n v="7"/>
    <s v="No"/>
    <n v="3700"/>
    <n v="700"/>
  </r>
  <r>
    <n v="18"/>
    <s v="New South Wales"/>
    <x v="1"/>
    <n v="31"/>
    <s v="Single Parent"/>
    <x v="5"/>
    <s v="Work"/>
    <s v="Health"/>
    <x v="1"/>
    <n v="5"/>
    <n v="4"/>
    <s v="No"/>
    <n v="4300"/>
    <n v="650"/>
  </r>
  <r>
    <n v="19"/>
    <s v="Western Australia"/>
    <x v="0"/>
    <n v="50"/>
    <s v="Couple with Children"/>
    <x v="1"/>
    <s v="Private"/>
    <s v="Fuel Security"/>
    <x v="0"/>
    <n v="3"/>
    <n v="6"/>
    <s v="No"/>
    <n v="3000"/>
    <n v="800"/>
  </r>
  <r>
    <n v="20"/>
    <s v="New South Wales"/>
    <x v="1"/>
    <n v="29"/>
    <s v="Couple with no Children"/>
    <x v="2"/>
    <s v="Holiday"/>
    <s v="Technology"/>
    <x v="1"/>
    <n v="4"/>
    <n v="5"/>
    <s v="Yes"/>
    <n v="3500"/>
    <n v="750"/>
  </r>
  <r>
    <n v="21"/>
    <s v="Victoria"/>
    <x v="0"/>
    <n v="53"/>
    <s v="Single Person"/>
    <x v="3"/>
    <s v="Work"/>
    <s v="Economic"/>
    <x v="1"/>
    <n v="2"/>
    <n v="7"/>
    <s v="Yes"/>
    <n v="2700"/>
    <n v="850"/>
  </r>
  <r>
    <n v="22"/>
    <s v="Tasmania"/>
    <x v="1"/>
    <n v="39"/>
    <s v="Single Parent"/>
    <x v="4"/>
    <s v="Private"/>
    <s v="Health"/>
    <x v="1"/>
    <n v="5"/>
    <n v="4"/>
    <s v="No"/>
    <n v="3200"/>
    <n v="800"/>
  </r>
  <r>
    <n v="23"/>
    <s v="New South Wales"/>
    <x v="0"/>
    <n v="46"/>
    <s v="Couple with Children"/>
    <x v="5"/>
    <s v="Holiday"/>
    <s v="Fuel Security"/>
    <x v="0"/>
    <n v="3"/>
    <n v="5"/>
    <s v="No"/>
    <n v="3400"/>
    <n v="750"/>
  </r>
  <r>
    <n v="24"/>
    <s v="New South Wales"/>
    <x v="1"/>
    <n v="34"/>
    <s v="Couple with no Children"/>
    <x v="6"/>
    <s v="Work"/>
    <s v="Environment"/>
    <x v="1"/>
    <n v="4"/>
    <n v="6"/>
    <s v="No"/>
    <n v="3700"/>
    <n v="700"/>
  </r>
  <r>
    <n v="25"/>
    <s v="New South Wales"/>
    <x v="0"/>
    <n v="56"/>
    <s v="Single Person"/>
    <x v="0"/>
    <s v="Private"/>
    <s v="Fuel Security"/>
    <x v="0"/>
    <n v="2"/>
    <n v="4"/>
    <s v="Yes"/>
    <n v="2800"/>
    <n v="850"/>
  </r>
  <r>
    <n v="26"/>
    <s v="Australian Capital Territory"/>
    <x v="1"/>
    <n v="36"/>
    <s v="Single Parent"/>
    <x v="7"/>
    <s v="Holiday"/>
    <s v="Technology"/>
    <x v="1"/>
    <n v="3"/>
    <n v="5"/>
    <s v="Yes"/>
    <n v="3300"/>
    <n v="800"/>
  </r>
  <r>
    <n v="27"/>
    <s v="Australian Capital Territory"/>
    <x v="0"/>
    <n v="32"/>
    <s v="Couple with Children"/>
    <x v="2"/>
    <s v="Work"/>
    <s v="Economic"/>
    <x v="1"/>
    <n v="4"/>
    <n v="6"/>
    <s v="Yes"/>
    <n v="3800"/>
    <n v="750"/>
  </r>
  <r>
    <n v="28"/>
    <s v="Victoria"/>
    <x v="1"/>
    <n v="51"/>
    <s v="Couple with no Children"/>
    <x v="3"/>
    <s v="Private"/>
    <s v="Health"/>
    <x v="1"/>
    <n v="5"/>
    <n v="7"/>
    <s v="No"/>
    <n v="4200"/>
    <n v="700"/>
  </r>
  <r>
    <n v="29"/>
    <s v="Queensland"/>
    <x v="0"/>
    <n v="47"/>
    <s v="Single Person"/>
    <x v="4"/>
    <s v="Holiday"/>
    <s v="Fuel Security"/>
    <x v="0"/>
    <n v="2"/>
    <n v="5"/>
    <s v="No"/>
    <n v="3100"/>
    <n v="850"/>
  </r>
  <r>
    <n v="30"/>
    <s v="Victoria"/>
    <x v="1"/>
    <n v="31"/>
    <s v="Single Parent"/>
    <x v="5"/>
    <s v="Work"/>
    <s v="Environment"/>
    <x v="1"/>
    <n v="3"/>
    <n v="4"/>
    <s v="No"/>
    <n v="3600"/>
    <n v="800"/>
  </r>
  <r>
    <n v="31"/>
    <s v="Victoria"/>
    <x v="0"/>
    <n v="54"/>
    <s v="Couple with Children"/>
    <x v="1"/>
    <s v="Private"/>
    <s v="Fuel Security"/>
    <x v="0"/>
    <n v="4"/>
    <n v="6"/>
    <s v="Yes"/>
    <n v="3100"/>
    <n v="750"/>
  </r>
  <r>
    <n v="32"/>
    <s v="Victoria"/>
    <x v="1"/>
    <n v="38"/>
    <s v="Couple with no Children"/>
    <x v="6"/>
    <s v="Holiday"/>
    <s v="Technology"/>
    <x v="1"/>
    <n v="2"/>
    <n v="5"/>
    <s v="Yes"/>
    <n v="3500"/>
    <n v="700"/>
  </r>
  <r>
    <n v="33"/>
    <s v="Victoria"/>
    <x v="0"/>
    <n v="29"/>
    <s v="Single Person"/>
    <x v="7"/>
    <s v="Work"/>
    <s v="Economic"/>
    <x v="1"/>
    <n v="3"/>
    <n v="7"/>
    <s v="Yes"/>
    <n v="3900"/>
    <n v="650"/>
  </r>
  <r>
    <n v="34"/>
    <s v="Queensland"/>
    <x v="1"/>
    <n v="56"/>
    <s v="Single Parent"/>
    <x v="0"/>
    <s v="Private"/>
    <s v="Health"/>
    <x v="1"/>
    <n v="5"/>
    <n v="3"/>
    <s v="No"/>
    <n v="2000"/>
    <n v="650"/>
  </r>
  <r>
    <n v="35"/>
    <s v="South Australia"/>
    <x v="0"/>
    <n v="42"/>
    <s v="Couple with Children"/>
    <x v="9"/>
    <s v="Work"/>
    <s v="Environment"/>
    <x v="1"/>
    <n v="3"/>
    <n v="6"/>
    <s v="No"/>
    <n v="4500"/>
    <n v="850"/>
  </r>
  <r>
    <n v="36"/>
    <s v="New South Wales"/>
    <x v="1"/>
    <n v="35"/>
    <s v="Single Parent"/>
    <x v="2"/>
    <s v="Private"/>
    <s v="Technology"/>
    <x v="0"/>
    <n v="4"/>
    <n v="7"/>
    <s v="Yes"/>
    <n v="3200"/>
    <n v="750"/>
  </r>
  <r>
    <n v="37"/>
    <s v="New South Wales"/>
    <x v="0"/>
    <n v="50"/>
    <s v="Couple with no Children"/>
    <x v="1"/>
    <s v="Holiday"/>
    <s v="Economic"/>
    <x v="1"/>
    <n v="3"/>
    <n v="5"/>
    <s v="Yes"/>
    <n v="3800"/>
    <n v="800"/>
  </r>
  <r>
    <n v="38"/>
    <s v="Victoria"/>
    <x v="1"/>
    <n v="28"/>
    <s v="Single Person"/>
    <x v="3"/>
    <s v="Work"/>
    <s v="Fuel Security"/>
    <x v="1"/>
    <n v="5"/>
    <n v="4"/>
    <s v="Yes"/>
    <n v="2700"/>
    <n v="900"/>
  </r>
  <r>
    <n v="39"/>
    <s v="Victoria"/>
    <x v="0"/>
    <n v="55"/>
    <s v="Couple with Children"/>
    <x v="0"/>
    <s v="Private"/>
    <s v="Fuel Security"/>
    <x v="0"/>
    <n v="2"/>
    <n v="6"/>
    <s v="No"/>
    <n v="4100"/>
    <n v="850"/>
  </r>
  <r>
    <n v="40"/>
    <s v="Queensland"/>
    <x v="1"/>
    <n v="40"/>
    <s v="Couple with no Children"/>
    <x v="5"/>
    <s v="Holiday"/>
    <s v="Health"/>
    <x v="1"/>
    <n v="4"/>
    <n v="5"/>
    <s v="No"/>
    <n v="3500"/>
    <n v="800"/>
  </r>
  <r>
    <n v="41"/>
    <s v="Queensland"/>
    <x v="0"/>
    <n v="48"/>
    <s v="Single Parent"/>
    <x v="7"/>
    <s v="Work"/>
    <s v="Technology"/>
    <x v="1"/>
    <n v="3"/>
    <n v="7"/>
    <s v="Yes"/>
    <n v="3900"/>
    <n v="900"/>
  </r>
  <r>
    <n v="42"/>
    <s v="Queensland"/>
    <x v="1"/>
    <n v="33"/>
    <s v="Couple with Children"/>
    <x v="6"/>
    <s v="Private"/>
    <s v="Environment"/>
    <x v="1"/>
    <n v="4"/>
    <n v="5"/>
    <s v="No"/>
    <n v="3300"/>
    <n v="750"/>
  </r>
  <r>
    <n v="43"/>
    <s v="New South Wales"/>
    <x v="0"/>
    <n v="52"/>
    <s v="Single Person"/>
    <x v="1"/>
    <s v="Holiday"/>
    <s v="Technology"/>
    <x v="1"/>
    <n v="3"/>
    <n v="6"/>
    <s v="Yes"/>
    <n v="3600"/>
    <n v="850"/>
  </r>
  <r>
    <n v="44"/>
    <s v="South Australia"/>
    <x v="1"/>
    <n v="30"/>
    <s v="Couple with no Children"/>
    <x v="4"/>
    <s v="Work"/>
    <s v="Economic"/>
    <x v="1"/>
    <n v="5"/>
    <n v="4"/>
    <s v="Yes"/>
    <n v="2800"/>
    <n v="900"/>
  </r>
  <r>
    <n v="45"/>
    <s v="New South Wales"/>
    <x v="0"/>
    <n v="47"/>
    <s v="Couple with Children"/>
    <x v="8"/>
    <s v="Private"/>
    <s v="Fuel Security"/>
    <x v="0"/>
    <n v="2"/>
    <n v="7"/>
    <s v="No"/>
    <n v="4300"/>
    <n v="850"/>
  </r>
  <r>
    <n v="46"/>
    <s v="Western Australia"/>
    <x v="1"/>
    <n v="31"/>
    <s v="Single Parent"/>
    <x v="2"/>
    <s v="Holiday"/>
    <s v="Health"/>
    <x v="1"/>
    <n v="4"/>
    <n v="5"/>
    <s v="No"/>
    <n v="3400"/>
    <n v="800"/>
  </r>
  <r>
    <n v="47"/>
    <s v="Victoria"/>
    <x v="0"/>
    <n v="57"/>
    <s v="Couple with no Children"/>
    <x v="5"/>
    <s v="Work"/>
    <s v="Fuel Security"/>
    <x v="0"/>
    <n v="3"/>
    <n v="6"/>
    <s v="Yes"/>
    <n v="3800"/>
    <n v="750"/>
  </r>
  <r>
    <n v="48"/>
    <s v="New South Wales"/>
    <x v="1"/>
    <n v="37"/>
    <s v="Single Person"/>
    <x v="4"/>
    <s v="Private"/>
    <s v="Technology"/>
    <x v="1"/>
    <n v="5"/>
    <n v="4"/>
    <s v="Yes"/>
    <n v="3100"/>
    <n v="900"/>
  </r>
  <r>
    <n v="49"/>
    <s v="South Australia"/>
    <x v="0"/>
    <n v="45"/>
    <s v="Couple with Children"/>
    <x v="6"/>
    <s v="Holiday"/>
    <s v="Environment"/>
    <x v="1"/>
    <n v="3"/>
    <n v="7"/>
    <s v="No"/>
    <n v="4200"/>
    <n v="850"/>
  </r>
  <r>
    <n v="50"/>
    <s v="New South Wales"/>
    <x v="1"/>
    <n v="29"/>
    <s v="Single Parent"/>
    <x v="3"/>
    <s v="Work"/>
    <s v="Economic"/>
    <x v="1"/>
    <n v="4"/>
    <n v="5"/>
    <s v="Yes"/>
    <n v="3300"/>
    <n v="800"/>
  </r>
  <r>
    <n v="51"/>
    <s v="New South Wales"/>
    <x v="0"/>
    <n v="50"/>
    <s v="Couple with no Children"/>
    <x v="7"/>
    <s v="Private"/>
    <s v="Health"/>
    <x v="1"/>
    <n v="2"/>
    <n v="6"/>
    <s v="No"/>
    <n v="3700"/>
    <n v="850"/>
  </r>
  <r>
    <n v="52"/>
    <s v="New South Wales"/>
    <x v="1"/>
    <n v="38"/>
    <s v="Couple with Children"/>
    <x v="1"/>
    <s v="Holiday"/>
    <s v="Fuel Security"/>
    <x v="0"/>
    <n v="4"/>
    <n v="7"/>
    <s v="No"/>
    <n v="4000"/>
    <n v="800"/>
  </r>
  <r>
    <n v="53"/>
    <s v="New South Wales"/>
    <x v="0"/>
    <n v="53"/>
    <s v="Single Person"/>
    <x v="2"/>
    <s v="Work"/>
    <s v="Technology"/>
    <x v="1"/>
    <n v="3"/>
    <n v="5"/>
    <s v="Yes"/>
    <n v="3200"/>
    <n v="900"/>
  </r>
  <r>
    <n v="54"/>
    <s v="New South Wales"/>
    <x v="1"/>
    <n v="36"/>
    <s v="Couple with no Children"/>
    <x v="5"/>
    <s v="Private"/>
    <s v="Fuel Security"/>
    <x v="1"/>
    <n v="5"/>
    <n v="4"/>
    <s v="Yes"/>
    <n v="2800"/>
    <n v="950"/>
  </r>
  <r>
    <n v="55"/>
    <s v="New South Wales"/>
    <x v="0"/>
    <n v="46"/>
    <s v="Single Parent"/>
    <x v="4"/>
    <s v="Holiday"/>
    <s v="Environment"/>
    <x v="1"/>
    <n v="2"/>
    <n v="6"/>
    <s v="No"/>
    <n v="3600"/>
    <n v="900"/>
  </r>
  <r>
    <n v="56"/>
    <s v="South Australia"/>
    <x v="1"/>
    <n v="32"/>
    <s v="Couple with Children"/>
    <x v="6"/>
    <s v="Work"/>
    <s v="Health"/>
    <x v="1"/>
    <n v="4"/>
    <n v="5"/>
    <s v="No"/>
    <n v="3900"/>
    <n v="850"/>
  </r>
  <r>
    <n v="57"/>
    <s v="Queensland"/>
    <x v="0"/>
    <n v="56"/>
    <s v="Single Person"/>
    <x v="0"/>
    <s v="Private"/>
    <s v="Fuel Security"/>
    <x v="0"/>
    <n v="3"/>
    <n v="7"/>
    <s v="No"/>
    <n v="4300"/>
    <n v="800"/>
  </r>
  <r>
    <n v="58"/>
    <s v="New South Wales"/>
    <x v="1"/>
    <n v="39"/>
    <s v="Couple with no Children"/>
    <x v="8"/>
    <s v="Holiday"/>
    <s v="Technology"/>
    <x v="1"/>
    <n v="2"/>
    <n v="6"/>
    <s v="Yes"/>
    <n v="3500"/>
    <n v="850"/>
  </r>
  <r>
    <n v="59"/>
    <s v="Tasmania"/>
    <x v="0"/>
    <n v="33"/>
    <s v="Single Parent"/>
    <x v="3"/>
    <s v="Work"/>
    <s v="Economic"/>
    <x v="1"/>
    <n v="5"/>
    <n v="4"/>
    <s v="Yes"/>
    <n v="3200"/>
    <n v="950"/>
  </r>
  <r>
    <n v="60"/>
    <s v="New South Wales"/>
    <x v="1"/>
    <n v="51"/>
    <s v="Couple with Children"/>
    <x v="2"/>
    <s v="Private"/>
    <s v="Fuel Security"/>
    <x v="1"/>
    <n v="4"/>
    <n v="7"/>
    <s v="Yes"/>
    <n v="4100"/>
    <n v="900"/>
  </r>
  <r>
    <n v="61"/>
    <s v="Victoria"/>
    <x v="0"/>
    <n v="47"/>
    <s v="Single Person"/>
    <x v="5"/>
    <s v="Holiday"/>
    <s v="Health"/>
    <x v="1"/>
    <n v="3"/>
    <n v="5"/>
    <s v="No"/>
    <n v="3400"/>
    <n v="950"/>
  </r>
  <r>
    <n v="62"/>
    <s v="Western Australia"/>
    <x v="1"/>
    <n v="31"/>
    <s v="Couple with no Children"/>
    <x v="1"/>
    <s v="Work"/>
    <s v="Fuel Security"/>
    <x v="0"/>
    <n v="5"/>
    <n v="6"/>
    <s v="No"/>
    <n v="3800"/>
    <n v="850"/>
  </r>
  <r>
    <n v="63"/>
    <s v="Queensland"/>
    <x v="0"/>
    <n v="54"/>
    <s v="Single Parent"/>
    <x v="7"/>
    <s v="Private"/>
    <s v="Environment"/>
    <x v="1"/>
    <n v="2"/>
    <n v="5"/>
    <s v="No"/>
    <n v="3100"/>
    <n v="900"/>
  </r>
  <r>
    <n v="64"/>
    <s v="New South Wales"/>
    <x v="1"/>
    <n v="40"/>
    <s v="Couple with Children"/>
    <x v="0"/>
    <s v="Holiday"/>
    <s v="Technology"/>
    <x v="1"/>
    <n v="3"/>
    <n v="7"/>
    <s v="Yes"/>
    <n v="4500"/>
    <n v="850"/>
  </r>
  <r>
    <n v="65"/>
    <s v="New South Wales"/>
    <x v="0"/>
    <n v="29"/>
    <s v="Couple with no Children"/>
    <x v="3"/>
    <s v="Work"/>
    <s v="Economic"/>
    <x v="1"/>
    <n v="4"/>
    <n v="4"/>
    <s v="Yes"/>
    <n v="2800"/>
    <n v="950"/>
  </r>
  <r>
    <n v="66"/>
    <s v="Victoria"/>
    <x v="1"/>
    <n v="56"/>
    <s v="Single Person"/>
    <x v="4"/>
    <s v="Private"/>
    <s v="Health"/>
    <x v="1"/>
    <n v="5"/>
    <n v="6"/>
    <s v="No"/>
    <n v="4200"/>
    <n v="900"/>
  </r>
  <r>
    <n v="67"/>
    <s v="Western Australia"/>
    <x v="0"/>
    <n v="43"/>
    <s v="Couple with Children"/>
    <x v="2"/>
    <s v="Holiday"/>
    <s v="Fuel Security"/>
    <x v="0"/>
    <n v="3"/>
    <n v="5"/>
    <s v="No"/>
    <n v="3500"/>
    <n v="850"/>
  </r>
  <r>
    <n v="68"/>
    <s v="South Australia"/>
    <x v="1"/>
    <n v="30"/>
    <s v="Single Parent"/>
    <x v="5"/>
    <s v="Work"/>
    <s v="Environment"/>
    <x v="1"/>
    <n v="5"/>
    <n v="7"/>
    <s v="No"/>
    <n v="2000"/>
    <n v="900"/>
  </r>
  <r>
    <n v="69"/>
    <s v="Victoria"/>
    <x v="0"/>
    <n v="42"/>
    <s v="Couple with Children"/>
    <x v="6"/>
    <s v="Work"/>
    <s v="Environment"/>
    <x v="1"/>
    <n v="3"/>
    <n v="6"/>
    <s v="No"/>
    <n v="3200"/>
    <n v="750"/>
  </r>
  <r>
    <n v="70"/>
    <s v="Victoria"/>
    <x v="1"/>
    <n v="35"/>
    <s v="Couple with Children"/>
    <x v="5"/>
    <s v="Private"/>
    <s v="Technology"/>
    <x v="1"/>
    <n v="4"/>
    <n v="5"/>
    <s v="Yes"/>
    <n v="3500"/>
    <n v="700"/>
  </r>
  <r>
    <n v="71"/>
    <s v="Queensland"/>
    <x v="0"/>
    <n v="49"/>
    <s v="Couple with no Children"/>
    <x v="1"/>
    <s v="Holiday"/>
    <s v="Economic"/>
    <x v="1"/>
    <n v="2"/>
    <n v="7"/>
    <s v="Yes"/>
    <n v="3800"/>
    <n v="650"/>
  </r>
  <r>
    <n v="72"/>
    <s v="Victoria"/>
    <x v="1"/>
    <n v="27"/>
    <s v="Single Person"/>
    <x v="2"/>
    <s v="Work"/>
    <s v="Fuel Security"/>
    <x v="0"/>
    <n v="5"/>
    <n v="4"/>
    <s v="Yes"/>
    <n v="2800"/>
    <n v="800"/>
  </r>
  <r>
    <n v="73"/>
    <s v="South Australia"/>
    <x v="0"/>
    <n v="55"/>
    <s v="Single Parent"/>
    <x v="7"/>
    <s v="Private"/>
    <s v="Environment"/>
    <x v="1"/>
    <n v="3"/>
    <n v="6"/>
    <s v="No"/>
    <n v="3300"/>
    <n v="750"/>
  </r>
  <r>
    <n v="74"/>
    <s v="New South Wales"/>
    <x v="1"/>
    <n v="41"/>
    <s v="Couple with Children"/>
    <x v="0"/>
    <s v="Holiday"/>
    <s v="Health"/>
    <x v="1"/>
    <n v="4"/>
    <n v="5"/>
    <s v="No"/>
    <n v="3700"/>
    <n v="700"/>
  </r>
  <r>
    <n v="75"/>
    <s v="South Australia"/>
    <x v="0"/>
    <n v="30"/>
    <s v="Couple with no Children"/>
    <x v="4"/>
    <s v="Work"/>
    <s v="Fuel Security"/>
    <x v="0"/>
    <n v="5"/>
    <n v="7"/>
    <s v="No"/>
    <n v="3000"/>
    <n v="850"/>
  </r>
  <r>
    <n v="76"/>
    <s v="New South Wales"/>
    <x v="1"/>
    <n v="47"/>
    <s v="Single Person"/>
    <x v="3"/>
    <s v="Private"/>
    <s v="Technology"/>
    <x v="1"/>
    <n v="3"/>
    <n v="5"/>
    <s v="Yes"/>
    <n v="3500"/>
    <n v="750"/>
  </r>
  <r>
    <n v="77"/>
    <s v="South Australia"/>
    <x v="0"/>
    <n v="39"/>
    <s v="Single Parent"/>
    <x v="1"/>
    <s v="Holiday"/>
    <s v="Economic"/>
    <x v="1"/>
    <n v="2"/>
    <n v="6"/>
    <s v="Yes"/>
    <n v="3100"/>
    <n v="800"/>
  </r>
  <r>
    <n v="78"/>
    <s v="Queensland"/>
    <x v="1"/>
    <n v="53"/>
    <s v="Couple with Children"/>
    <x v="6"/>
    <s v="Work"/>
    <s v="Fuel Security"/>
    <x v="0"/>
    <n v="4"/>
    <n v="5"/>
    <s v="Yes"/>
    <n v="3400"/>
    <n v="750"/>
  </r>
  <r>
    <n v="79"/>
    <s v="New South Wales"/>
    <x v="0"/>
    <n v="28"/>
    <s v="Couple with no Children"/>
    <x v="5"/>
    <s v="Private"/>
    <s v="Environment"/>
    <x v="1"/>
    <n v="5"/>
    <n v="4"/>
    <s v="No"/>
    <n v="3800"/>
    <n v="700"/>
  </r>
  <r>
    <n v="80"/>
    <s v="Queensland"/>
    <x v="1"/>
    <n v="46"/>
    <s v="Single Person"/>
    <x v="2"/>
    <s v="Holiday"/>
    <s v="Health"/>
    <x v="1"/>
    <n v="3"/>
    <n v="7"/>
    <s v="No"/>
    <n v="3200"/>
    <n v="800"/>
  </r>
  <r>
    <n v="81"/>
    <s v="Western Australia"/>
    <x v="0"/>
    <n v="36"/>
    <s v="Couple with Children"/>
    <x v="7"/>
    <s v="Work"/>
    <s v="Fuel Security"/>
    <x v="0"/>
    <n v="2"/>
    <n v="6"/>
    <s v="No"/>
    <n v="3700"/>
    <n v="750"/>
  </r>
  <r>
    <n v="82"/>
    <s v="Queensland"/>
    <x v="1"/>
    <n v="50"/>
    <s v="Single Parent"/>
    <x v="0"/>
    <s v="Private"/>
    <s v="Technology"/>
    <x v="1"/>
    <n v="4"/>
    <n v="5"/>
    <s v="Yes"/>
    <n v="3900"/>
    <n v="700"/>
  </r>
  <r>
    <n v="83"/>
    <s v="Queensland"/>
    <x v="0"/>
    <n v="32"/>
    <s v="Couple with no Children"/>
    <x v="4"/>
    <s v="Holiday"/>
    <s v="Economic"/>
    <x v="1"/>
    <n v="3"/>
    <n v="7"/>
    <s v="Yes"/>
    <n v="3300"/>
    <n v="650"/>
  </r>
  <r>
    <n v="84"/>
    <s v="New South Wales"/>
    <x v="1"/>
    <n v="54"/>
    <s v="Single Person"/>
    <x v="1"/>
    <s v="Work"/>
    <s v="Fuel Security"/>
    <x v="0"/>
    <n v="5"/>
    <n v="4"/>
    <s v="Yes"/>
    <n v="2900"/>
    <n v="850"/>
  </r>
  <r>
    <n v="85"/>
    <s v="Victoria"/>
    <x v="0"/>
    <n v="40"/>
    <s v="Couple with Children"/>
    <x v="6"/>
    <s v="Private"/>
    <s v="Environment"/>
    <x v="1"/>
    <n v="2"/>
    <n v="6"/>
    <s v="No"/>
    <n v="3500"/>
    <n v="750"/>
  </r>
  <r>
    <n v="86"/>
    <s v="New South Wales"/>
    <x v="1"/>
    <n v="29"/>
    <s v="Couple with no Children"/>
    <x v="5"/>
    <s v="Holiday"/>
    <s v="Health"/>
    <x v="1"/>
    <n v="4"/>
    <n v="5"/>
    <s v="No"/>
    <n v="3800"/>
    <n v="700"/>
  </r>
  <r>
    <n v="87"/>
    <s v="Queensland"/>
    <x v="0"/>
    <n v="45"/>
    <s v="Single Parent"/>
    <x v="2"/>
    <s v="Work"/>
    <s v="Fuel Security"/>
    <x v="0"/>
    <n v="3"/>
    <n v="7"/>
    <s v="No"/>
    <n v="3100"/>
    <n v="800"/>
  </r>
  <r>
    <n v="88"/>
    <s v="Victoria"/>
    <x v="1"/>
    <n v="37"/>
    <s v="Couple with Children"/>
    <x v="7"/>
    <s v="Private"/>
    <s v="Technology"/>
    <x v="1"/>
    <n v="5"/>
    <n v="4"/>
    <s v="Yes"/>
    <n v="3300"/>
    <n v="750"/>
  </r>
  <r>
    <n v="89"/>
    <s v="Victoria"/>
    <x v="0"/>
    <n v="51"/>
    <s v="Single Person"/>
    <x v="0"/>
    <s v="Holiday"/>
    <s v="Economic"/>
    <x v="1"/>
    <n v="2"/>
    <n v="6"/>
    <s v="Yes"/>
    <n v="3700"/>
    <n v="700"/>
  </r>
  <r>
    <n v="90"/>
    <s v="Victoria"/>
    <x v="1"/>
    <n v="33"/>
    <s v="Couple with no Children"/>
    <x v="4"/>
    <s v="Work"/>
    <s v="Fuel Security"/>
    <x v="0"/>
    <n v="4"/>
    <n v="5"/>
    <s v="Yes"/>
    <n v="3200"/>
    <n v="650"/>
  </r>
  <r>
    <n v="91"/>
    <s v="Queensland"/>
    <x v="0"/>
    <n v="48"/>
    <s v="Single Parent"/>
    <x v="1"/>
    <s v="Private"/>
    <s v="Environment"/>
    <x v="1"/>
    <n v="3"/>
    <n v="7"/>
    <s v="No"/>
    <n v="3600"/>
    <n v="850"/>
  </r>
  <r>
    <n v="92"/>
    <s v="New South Wales"/>
    <x v="1"/>
    <n v="31"/>
    <s v="Couple with Children"/>
    <x v="6"/>
    <s v="Holiday"/>
    <s v="Health"/>
    <x v="1"/>
    <n v="4"/>
    <n v="5"/>
    <s v="No"/>
    <n v="3900"/>
    <n v="800"/>
  </r>
  <r>
    <n v="93"/>
    <s v="Queensland"/>
    <x v="0"/>
    <n v="56"/>
    <s v="Single Person"/>
    <x v="5"/>
    <s v="Work"/>
    <s v="Fuel Security"/>
    <x v="0"/>
    <n v="2"/>
    <n v="6"/>
    <s v="No"/>
    <n v="3300"/>
    <n v="750"/>
  </r>
  <r>
    <n v="94"/>
    <s v="Queensland"/>
    <x v="1"/>
    <n v="38"/>
    <s v="Couple with no Children"/>
    <x v="2"/>
    <s v="Private"/>
    <s v="Technology"/>
    <x v="1"/>
    <n v="5"/>
    <n v="4"/>
    <s v="No"/>
    <n v="3100"/>
    <n v="700"/>
  </r>
  <r>
    <n v="95"/>
    <s v="New South Wales"/>
    <x v="0"/>
    <n v="44"/>
    <s v="Single Parent"/>
    <x v="7"/>
    <s v="Holiday"/>
    <s v="Economic"/>
    <x v="1"/>
    <n v="3"/>
    <n v="7"/>
    <s v="Yes"/>
    <n v="3400"/>
    <n v="650"/>
  </r>
  <r>
    <n v="96"/>
    <s v="New South Wales"/>
    <x v="0"/>
    <n v="34"/>
    <s v="Couple with Children"/>
    <x v="0"/>
    <s v="Work"/>
    <s v="Fuel Security"/>
    <x v="0"/>
    <n v="4"/>
    <n v="5"/>
    <s v="Yes"/>
    <n v="2800"/>
    <n v="850"/>
  </r>
  <r>
    <n v="97"/>
    <s v="New South Wales"/>
    <x v="0"/>
    <n v="52"/>
    <s v="Single Person"/>
    <x v="4"/>
    <s v="Private"/>
    <s v="Environment"/>
    <x v="1"/>
    <n v="3"/>
    <n v="6"/>
    <s v="No"/>
    <n v="3200"/>
    <n v="800"/>
  </r>
  <r>
    <n v="98"/>
    <s v="Queensland"/>
    <x v="0"/>
    <n v="30"/>
    <s v="Couple with no Children"/>
    <x v="1"/>
    <s v="Holiday"/>
    <s v="Health"/>
    <x v="1"/>
    <n v="2"/>
    <n v="5"/>
    <s v="No"/>
    <n v="3600"/>
    <n v="750"/>
  </r>
  <r>
    <n v="99"/>
    <s v="Australian Capital Territory"/>
    <x v="0"/>
    <n v="49"/>
    <s v="Single Parent"/>
    <x v="5"/>
    <s v="Work"/>
    <s v="Fuel Security"/>
    <x v="0"/>
    <n v="5"/>
    <n v="7"/>
    <s v="Yes"/>
    <n v="3000"/>
    <n v="700"/>
  </r>
  <r>
    <n v="100"/>
    <s v="South Australia"/>
    <x v="0"/>
    <n v="37"/>
    <s v="Couple with Children"/>
    <x v="2"/>
    <s v="Private"/>
    <s v="Technology"/>
    <x v="1"/>
    <n v="4"/>
    <n v="6"/>
    <s v="Yes"/>
    <n v="3400"/>
    <n v="650"/>
  </r>
  <r>
    <n v="101"/>
    <s v="South Australia"/>
    <x v="0"/>
    <n v="45"/>
    <s v="Single Person"/>
    <x v="7"/>
    <s v="Holiday"/>
    <s v="Economic"/>
    <x v="1"/>
    <n v="3"/>
    <n v="5"/>
    <s v="Yes"/>
    <n v="3700"/>
    <n v="850"/>
  </r>
  <r>
    <n v="102"/>
    <s v="Victoria"/>
    <x v="0"/>
    <n v="31"/>
    <s v="Couple with no Children"/>
    <x v="6"/>
    <s v="Work"/>
    <s v="Fuel Security"/>
    <x v="0"/>
    <n v="2"/>
    <n v="6"/>
    <s v="No"/>
    <n v="3100"/>
    <n v="7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n v="1"/>
    <s v="Queensland"/>
    <s v="Metro"/>
    <n v="45"/>
    <s v="Couple with Children"/>
    <n v="15000"/>
    <s v="Work"/>
    <x v="0"/>
    <s v="No"/>
    <n v="3"/>
    <n v="7"/>
    <s v="No"/>
    <n v="4000"/>
    <n v="600"/>
    <x v="0"/>
  </r>
  <r>
    <n v="2"/>
    <s v="Tasmania"/>
    <s v="Regional"/>
    <n v="32"/>
    <s v="Couple with Children"/>
    <n v="12000"/>
    <s v="Private"/>
    <x v="1"/>
    <s v="Yes"/>
    <n v="2"/>
    <n v="5"/>
    <s v="Yes"/>
    <n v="3000"/>
    <n v="750"/>
    <x v="0"/>
  </r>
  <r>
    <n v="3"/>
    <s v="New South Wales"/>
    <s v="Metro"/>
    <n v="50"/>
    <s v="Couple with no Children"/>
    <n v="10000"/>
    <s v="Holiday"/>
    <x v="2"/>
    <s v="Yes"/>
    <n v="4"/>
    <n v="6"/>
    <s v="Yes"/>
    <n v="3500"/>
    <n v="700"/>
    <x v="0"/>
  </r>
  <r>
    <n v="4"/>
    <s v="Victoria"/>
    <s v="Regional"/>
    <n v="28"/>
    <s v="Single Person"/>
    <n v="8000"/>
    <s v="Work"/>
    <x v="3"/>
    <s v="No"/>
    <n v="5"/>
    <n v="4"/>
    <s v="Yes"/>
    <n v="2500"/>
    <n v="850"/>
    <x v="1"/>
  </r>
  <r>
    <n v="5"/>
    <s v="New South Wales"/>
    <s v="Metro"/>
    <n v="55"/>
    <s v="Single Parent"/>
    <n v="9000"/>
    <s v="Private"/>
    <x v="0"/>
    <s v="Yes"/>
    <n v="3"/>
    <n v="7"/>
    <s v="No"/>
    <n v="2800"/>
    <n v="800"/>
    <x v="0"/>
  </r>
  <r>
    <n v="6"/>
    <s v="New South Wales"/>
    <s v="Regional"/>
    <n v="40"/>
    <s v="Couple with Children"/>
    <n v="11000"/>
    <s v="Work"/>
    <x v="4"/>
    <s v="Yes"/>
    <n v="2"/>
    <n v="5"/>
    <s v="No"/>
    <n v="3200"/>
    <n v="750"/>
    <x v="0"/>
  </r>
  <r>
    <n v="7"/>
    <s v="New South Wales"/>
    <s v="Metro"/>
    <n v="38"/>
    <s v="Couple with no Children"/>
    <n v="13000"/>
    <s v="Private"/>
    <x v="3"/>
    <s v="No"/>
    <n v="3"/>
    <n v="6"/>
    <s v="No"/>
    <n v="3800"/>
    <n v="700"/>
    <x v="0"/>
  </r>
  <r>
    <n v="8"/>
    <s v="Victoria"/>
    <s v="Regional"/>
    <n v="48"/>
    <s v="Single Person"/>
    <n v="14000"/>
    <s v="Holiday"/>
    <x v="1"/>
    <s v="Yes"/>
    <n v="4"/>
    <n v="4"/>
    <s v="Yes"/>
    <n v="4200"/>
    <n v="650"/>
    <x v="1"/>
  </r>
  <r>
    <n v="9"/>
    <s v="New South Wales"/>
    <s v="Metro"/>
    <n v="42"/>
    <s v="Couple with Children"/>
    <n v="16000"/>
    <s v="Work"/>
    <x v="2"/>
    <s v="Yes"/>
    <n v="5"/>
    <n v="3"/>
    <s v="Yes"/>
    <n v="3800"/>
    <n v="750"/>
    <x v="1"/>
  </r>
  <r>
    <n v="10"/>
    <s v="Victoria"/>
    <s v="Regional"/>
    <n v="30"/>
    <s v="Single Parent"/>
    <n v="10000"/>
    <s v="Private"/>
    <x v="0"/>
    <s v="Yes"/>
    <n v="3"/>
    <n v="6"/>
    <s v="No"/>
    <n v="2900"/>
    <n v="800"/>
    <x v="0"/>
  </r>
  <r>
    <n v="11"/>
    <s v="Queensland"/>
    <s v="Metro"/>
    <n v="52"/>
    <s v="Couple with no Children"/>
    <n v="12000"/>
    <s v="Holiday"/>
    <x v="1"/>
    <s v="Yes"/>
    <n v="2"/>
    <n v="7"/>
    <s v="Yes"/>
    <n v="3400"/>
    <n v="700"/>
    <x v="0"/>
  </r>
  <r>
    <n v="12"/>
    <s v="New South Wales"/>
    <s v="Regional"/>
    <n v="35"/>
    <s v="Couple with Children"/>
    <n v="11000"/>
    <s v="Work"/>
    <x v="3"/>
    <s v="No"/>
    <n v="3"/>
    <n v="5"/>
    <s v="Yes"/>
    <n v="3600"/>
    <n v="750"/>
    <x v="0"/>
  </r>
  <r>
    <n v="13"/>
    <s v="New South Wales"/>
    <s v="Metro"/>
    <n v="47"/>
    <s v="Single Person"/>
    <n v="9000"/>
    <s v="Private"/>
    <x v="4"/>
    <s v="Yes"/>
    <n v="4"/>
    <n v="4"/>
    <s v="No"/>
    <n v="4100"/>
    <n v="650"/>
    <x v="1"/>
  </r>
  <r>
    <n v="14"/>
    <s v="Queensland"/>
    <s v="Regional"/>
    <n v="33"/>
    <s v="Single Parent"/>
    <n v="8000"/>
    <s v="Holiday"/>
    <x v="3"/>
    <s v="No"/>
    <n v="5"/>
    <n v="6"/>
    <s v="No"/>
    <n v="2600"/>
    <n v="850"/>
    <x v="0"/>
  </r>
  <r>
    <n v="15"/>
    <s v="Victoria"/>
    <s v="Metro"/>
    <n v="57"/>
    <s v="Couple with Children"/>
    <n v="13000"/>
    <s v="Work"/>
    <x v="1"/>
    <s v="Yes"/>
    <n v="2"/>
    <n v="5"/>
    <s v="Yes"/>
    <n v="3900"/>
    <n v="700"/>
    <x v="0"/>
  </r>
  <r>
    <n v="16"/>
    <s v="Queensland"/>
    <s v="Regional"/>
    <n v="37"/>
    <s v="Couple with no Children"/>
    <n v="15000"/>
    <s v="Private"/>
    <x v="2"/>
    <s v="Yes"/>
    <n v="3"/>
    <n v="6"/>
    <s v="Yes"/>
    <n v="3300"/>
    <n v="750"/>
    <x v="0"/>
  </r>
  <r>
    <n v="17"/>
    <s v="New South Wales"/>
    <s v="Metro"/>
    <n v="45"/>
    <s v="Single Person"/>
    <n v="14000"/>
    <s v="Holiday"/>
    <x v="0"/>
    <s v="Yes"/>
    <n v="4"/>
    <n v="7"/>
    <s v="No"/>
    <n v="3700"/>
    <n v="700"/>
    <x v="0"/>
  </r>
  <r>
    <n v="18"/>
    <s v="New South Wales"/>
    <s v="Regional"/>
    <n v="31"/>
    <s v="Single Parent"/>
    <n v="11000"/>
    <s v="Work"/>
    <x v="4"/>
    <s v="Yes"/>
    <n v="5"/>
    <n v="4"/>
    <s v="No"/>
    <n v="4300"/>
    <n v="650"/>
    <x v="1"/>
  </r>
  <r>
    <n v="19"/>
    <s v="Western Australia"/>
    <s v="Metro"/>
    <n v="50"/>
    <s v="Couple with Children"/>
    <n v="12000"/>
    <s v="Private"/>
    <x v="3"/>
    <s v="No"/>
    <n v="3"/>
    <n v="6"/>
    <s v="No"/>
    <n v="3000"/>
    <n v="800"/>
    <x v="0"/>
  </r>
  <r>
    <n v="20"/>
    <s v="New South Wales"/>
    <s v="Regional"/>
    <n v="29"/>
    <s v="Couple with no Children"/>
    <n v="10000"/>
    <s v="Holiday"/>
    <x v="1"/>
    <s v="Yes"/>
    <n v="4"/>
    <n v="5"/>
    <s v="Yes"/>
    <n v="3500"/>
    <n v="750"/>
    <x v="0"/>
  </r>
  <r>
    <n v="21"/>
    <s v="Victoria"/>
    <s v="Metro"/>
    <n v="53"/>
    <s v="Single Person"/>
    <n v="8000"/>
    <s v="Work"/>
    <x v="2"/>
    <s v="Yes"/>
    <n v="2"/>
    <n v="7"/>
    <s v="Yes"/>
    <n v="2700"/>
    <n v="850"/>
    <x v="0"/>
  </r>
  <r>
    <n v="22"/>
    <s v="Tasmania"/>
    <s v="Regional"/>
    <n v="39"/>
    <s v="Single Parent"/>
    <n v="9000"/>
    <s v="Private"/>
    <x v="4"/>
    <s v="Yes"/>
    <n v="5"/>
    <n v="4"/>
    <s v="No"/>
    <n v="3200"/>
    <n v="800"/>
    <x v="1"/>
  </r>
  <r>
    <n v="23"/>
    <s v="New South Wales"/>
    <s v="Metro"/>
    <n v="46"/>
    <s v="Couple with Children"/>
    <n v="11000"/>
    <s v="Holiday"/>
    <x v="3"/>
    <s v="No"/>
    <n v="3"/>
    <n v="5"/>
    <s v="No"/>
    <n v="3400"/>
    <n v="750"/>
    <x v="0"/>
  </r>
  <r>
    <n v="24"/>
    <s v="New South Wales"/>
    <s v="Regional"/>
    <n v="34"/>
    <s v="Couple with no Children"/>
    <n v="13000"/>
    <s v="Work"/>
    <x v="0"/>
    <s v="Yes"/>
    <n v="4"/>
    <n v="6"/>
    <s v="No"/>
    <n v="3700"/>
    <n v="700"/>
    <x v="0"/>
  </r>
  <r>
    <n v="25"/>
    <s v="New South Wales"/>
    <s v="Metro"/>
    <n v="56"/>
    <s v="Single Person"/>
    <n v="15000"/>
    <s v="Private"/>
    <x v="3"/>
    <s v="No"/>
    <n v="2"/>
    <n v="4"/>
    <s v="Yes"/>
    <n v="2800"/>
    <n v="850"/>
    <x v="1"/>
  </r>
  <r>
    <n v="26"/>
    <s v="Australian Capital Territory"/>
    <s v="Regional"/>
    <n v="36"/>
    <s v="Single Parent"/>
    <n v="14000"/>
    <s v="Holiday"/>
    <x v="1"/>
    <s v="Yes"/>
    <n v="3"/>
    <n v="5"/>
    <s v="Yes"/>
    <n v="3300"/>
    <n v="800"/>
    <x v="0"/>
  </r>
  <r>
    <n v="27"/>
    <s v="Australian Capital Territory"/>
    <s v="Metro"/>
    <n v="32"/>
    <s v="Couple with Children"/>
    <n v="10000"/>
    <s v="Work"/>
    <x v="2"/>
    <s v="Yes"/>
    <n v="4"/>
    <n v="6"/>
    <s v="Yes"/>
    <n v="3800"/>
    <n v="750"/>
    <x v="0"/>
  </r>
  <r>
    <n v="28"/>
    <s v="Victoria"/>
    <s v="Regional"/>
    <n v="51"/>
    <s v="Couple with no Children"/>
    <n v="8000"/>
    <s v="Private"/>
    <x v="4"/>
    <s v="Yes"/>
    <n v="5"/>
    <n v="7"/>
    <s v="No"/>
    <n v="4200"/>
    <n v="700"/>
    <x v="0"/>
  </r>
  <r>
    <n v="29"/>
    <s v="Queensland"/>
    <s v="Metro"/>
    <n v="47"/>
    <s v="Single Person"/>
    <n v="9000"/>
    <s v="Holiday"/>
    <x v="3"/>
    <s v="No"/>
    <n v="2"/>
    <n v="5"/>
    <s v="No"/>
    <n v="3100"/>
    <n v="850"/>
    <x v="0"/>
  </r>
  <r>
    <n v="30"/>
    <s v="Victoria"/>
    <s v="Regional"/>
    <n v="31"/>
    <s v="Single Parent"/>
    <n v="11000"/>
    <s v="Work"/>
    <x v="0"/>
    <s v="Yes"/>
    <n v="3"/>
    <n v="4"/>
    <s v="No"/>
    <n v="3600"/>
    <n v="800"/>
    <x v="1"/>
  </r>
  <r>
    <n v="31"/>
    <s v="Victoria"/>
    <s v="Metro"/>
    <n v="54"/>
    <s v="Couple with Children"/>
    <n v="12000"/>
    <s v="Private"/>
    <x v="3"/>
    <s v="No"/>
    <n v="4"/>
    <n v="6"/>
    <s v="Yes"/>
    <n v="3100"/>
    <n v="750"/>
    <x v="0"/>
  </r>
  <r>
    <n v="32"/>
    <s v="Victoria"/>
    <s v="Regional"/>
    <n v="38"/>
    <s v="Couple with no Children"/>
    <n v="13000"/>
    <s v="Holiday"/>
    <x v="1"/>
    <s v="Yes"/>
    <n v="2"/>
    <n v="5"/>
    <s v="Yes"/>
    <n v="3500"/>
    <n v="700"/>
    <x v="0"/>
  </r>
  <r>
    <n v="33"/>
    <s v="Victoria"/>
    <s v="Metro"/>
    <n v="29"/>
    <s v="Single Person"/>
    <n v="14000"/>
    <s v="Work"/>
    <x v="2"/>
    <s v="Yes"/>
    <n v="3"/>
    <n v="7"/>
    <s v="Yes"/>
    <n v="3900"/>
    <n v="650"/>
    <x v="0"/>
  </r>
  <r>
    <n v="34"/>
    <s v="Queensland"/>
    <s v="Regional"/>
    <n v="56"/>
    <s v="Single Parent"/>
    <n v="15000"/>
    <s v="Private"/>
    <x v="4"/>
    <s v="Yes"/>
    <n v="5"/>
    <n v="3"/>
    <s v="No"/>
    <n v="2000"/>
    <n v="650"/>
    <x v="1"/>
  </r>
  <r>
    <n v="35"/>
    <s v="South Australia"/>
    <s v="Metro"/>
    <n v="42"/>
    <s v="Couple with Children"/>
    <n v="18000"/>
    <s v="Work"/>
    <x v="0"/>
    <s v="Yes"/>
    <n v="3"/>
    <n v="6"/>
    <s v="No"/>
    <n v="4500"/>
    <n v="850"/>
    <x v="0"/>
  </r>
  <r>
    <n v="36"/>
    <s v="New South Wales"/>
    <s v="Regional"/>
    <n v="35"/>
    <s v="Single Parent"/>
    <n v="10000"/>
    <s v="Private"/>
    <x v="1"/>
    <s v="No"/>
    <n v="4"/>
    <n v="7"/>
    <s v="Yes"/>
    <n v="3200"/>
    <n v="750"/>
    <x v="0"/>
  </r>
  <r>
    <n v="37"/>
    <s v="New South Wales"/>
    <s v="Metro"/>
    <n v="50"/>
    <s v="Couple with no Children"/>
    <n v="12000"/>
    <s v="Holiday"/>
    <x v="2"/>
    <s v="Yes"/>
    <n v="3"/>
    <n v="5"/>
    <s v="Yes"/>
    <n v="3800"/>
    <n v="800"/>
    <x v="0"/>
  </r>
  <r>
    <n v="38"/>
    <s v="Victoria"/>
    <s v="Regional"/>
    <n v="28"/>
    <s v="Single Person"/>
    <n v="8000"/>
    <s v="Work"/>
    <x v="3"/>
    <s v="Yes"/>
    <n v="5"/>
    <n v="4"/>
    <s v="Yes"/>
    <n v="2700"/>
    <n v="900"/>
    <x v="1"/>
  </r>
  <r>
    <n v="39"/>
    <s v="Victoria"/>
    <s v="Metro"/>
    <n v="55"/>
    <s v="Couple with Children"/>
    <n v="15000"/>
    <s v="Private"/>
    <x v="3"/>
    <s v="No"/>
    <n v="2"/>
    <n v="6"/>
    <s v="No"/>
    <n v="4100"/>
    <n v="850"/>
    <x v="0"/>
  </r>
  <r>
    <n v="40"/>
    <s v="Queensland"/>
    <s v="Regional"/>
    <n v="40"/>
    <s v="Couple with no Children"/>
    <n v="11000"/>
    <s v="Holiday"/>
    <x v="4"/>
    <s v="Yes"/>
    <n v="4"/>
    <n v="5"/>
    <s v="No"/>
    <n v="3500"/>
    <n v="800"/>
    <x v="0"/>
  </r>
  <r>
    <n v="41"/>
    <s v="Queensland"/>
    <s v="Metro"/>
    <n v="48"/>
    <s v="Single Parent"/>
    <n v="14000"/>
    <s v="Work"/>
    <x v="1"/>
    <s v="Yes"/>
    <n v="3"/>
    <n v="7"/>
    <s v="Yes"/>
    <n v="3900"/>
    <n v="900"/>
    <x v="0"/>
  </r>
  <r>
    <n v="42"/>
    <s v="Queensland"/>
    <s v="Regional"/>
    <n v="33"/>
    <s v="Couple with Children"/>
    <n v="13000"/>
    <s v="Private"/>
    <x v="0"/>
    <s v="Yes"/>
    <n v="4"/>
    <n v="5"/>
    <s v="No"/>
    <n v="3300"/>
    <n v="750"/>
    <x v="0"/>
  </r>
  <r>
    <n v="43"/>
    <s v="New South Wales"/>
    <s v="Metro"/>
    <n v="52"/>
    <s v="Single Person"/>
    <n v="12000"/>
    <s v="Holiday"/>
    <x v="1"/>
    <s v="Yes"/>
    <n v="3"/>
    <n v="6"/>
    <s v="Yes"/>
    <n v="3600"/>
    <n v="850"/>
    <x v="0"/>
  </r>
  <r>
    <n v="44"/>
    <s v="South Australia"/>
    <s v="Regional"/>
    <n v="30"/>
    <s v="Couple with no Children"/>
    <n v="9000"/>
    <s v="Work"/>
    <x v="2"/>
    <s v="Yes"/>
    <n v="5"/>
    <n v="4"/>
    <s v="Yes"/>
    <n v="2800"/>
    <n v="900"/>
    <x v="1"/>
  </r>
  <r>
    <n v="45"/>
    <s v="New South Wales"/>
    <s v="Metro"/>
    <n v="47"/>
    <s v="Couple with Children"/>
    <n v="16000"/>
    <s v="Private"/>
    <x v="3"/>
    <s v="No"/>
    <n v="2"/>
    <n v="7"/>
    <s v="No"/>
    <n v="4300"/>
    <n v="850"/>
    <x v="0"/>
  </r>
  <r>
    <n v="46"/>
    <s v="Western Australia"/>
    <s v="Regional"/>
    <n v="31"/>
    <s v="Single Parent"/>
    <n v="10000"/>
    <s v="Holiday"/>
    <x v="4"/>
    <s v="Yes"/>
    <n v="4"/>
    <n v="5"/>
    <s v="No"/>
    <n v="3400"/>
    <n v="800"/>
    <x v="0"/>
  </r>
  <r>
    <n v="47"/>
    <s v="Victoria"/>
    <s v="Metro"/>
    <n v="57"/>
    <s v="Couple with no Children"/>
    <n v="11000"/>
    <s v="Work"/>
    <x v="3"/>
    <s v="No"/>
    <n v="3"/>
    <n v="6"/>
    <s v="Yes"/>
    <n v="3800"/>
    <n v="750"/>
    <x v="0"/>
  </r>
  <r>
    <n v="48"/>
    <s v="New South Wales"/>
    <s v="Regional"/>
    <n v="37"/>
    <s v="Single Person"/>
    <n v="9000"/>
    <s v="Private"/>
    <x v="1"/>
    <s v="Yes"/>
    <n v="5"/>
    <n v="4"/>
    <s v="Yes"/>
    <n v="3100"/>
    <n v="900"/>
    <x v="1"/>
  </r>
  <r>
    <n v="49"/>
    <s v="South Australia"/>
    <s v="Metro"/>
    <n v="45"/>
    <s v="Couple with Children"/>
    <n v="13000"/>
    <s v="Holiday"/>
    <x v="0"/>
    <s v="Yes"/>
    <n v="3"/>
    <n v="7"/>
    <s v="No"/>
    <n v="4200"/>
    <n v="850"/>
    <x v="0"/>
  </r>
  <r>
    <n v="50"/>
    <s v="New South Wales"/>
    <s v="Regional"/>
    <n v="29"/>
    <s v="Single Parent"/>
    <n v="8000"/>
    <s v="Work"/>
    <x v="2"/>
    <s v="Yes"/>
    <n v="4"/>
    <n v="5"/>
    <s v="Yes"/>
    <n v="3300"/>
    <n v="800"/>
    <x v="0"/>
  </r>
  <r>
    <n v="51"/>
    <s v="New South Wales"/>
    <s v="Metro"/>
    <n v="50"/>
    <s v="Couple with no Children"/>
    <n v="14000"/>
    <s v="Private"/>
    <x v="4"/>
    <s v="Yes"/>
    <n v="2"/>
    <n v="6"/>
    <s v="No"/>
    <n v="3700"/>
    <n v="850"/>
    <x v="0"/>
  </r>
  <r>
    <n v="52"/>
    <s v="New South Wales"/>
    <s v="Regional"/>
    <n v="38"/>
    <s v="Couple with Children"/>
    <n v="12000"/>
    <s v="Holiday"/>
    <x v="3"/>
    <s v="No"/>
    <n v="4"/>
    <n v="7"/>
    <s v="No"/>
    <n v="4000"/>
    <n v="800"/>
    <x v="0"/>
  </r>
  <r>
    <n v="53"/>
    <s v="New South Wales"/>
    <s v="Metro"/>
    <n v="53"/>
    <s v="Single Person"/>
    <n v="10000"/>
    <s v="Work"/>
    <x v="1"/>
    <s v="Yes"/>
    <n v="3"/>
    <n v="5"/>
    <s v="Yes"/>
    <n v="3200"/>
    <n v="900"/>
    <x v="0"/>
  </r>
  <r>
    <n v="54"/>
    <s v="New South Wales"/>
    <s v="Regional"/>
    <n v="36"/>
    <s v="Couple with no Children"/>
    <n v="11000"/>
    <s v="Private"/>
    <x v="3"/>
    <s v="Yes"/>
    <n v="5"/>
    <n v="4"/>
    <s v="Yes"/>
    <n v="2800"/>
    <n v="950"/>
    <x v="1"/>
  </r>
  <r>
    <n v="55"/>
    <s v="New South Wales"/>
    <s v="Metro"/>
    <n v="46"/>
    <s v="Single Parent"/>
    <n v="9000"/>
    <s v="Holiday"/>
    <x v="0"/>
    <s v="Yes"/>
    <n v="2"/>
    <n v="6"/>
    <s v="No"/>
    <n v="3600"/>
    <n v="900"/>
    <x v="0"/>
  </r>
  <r>
    <n v="56"/>
    <s v="South Australia"/>
    <s v="Regional"/>
    <n v="32"/>
    <s v="Couple with Children"/>
    <n v="13000"/>
    <s v="Work"/>
    <x v="4"/>
    <s v="Yes"/>
    <n v="4"/>
    <n v="5"/>
    <s v="No"/>
    <n v="3900"/>
    <n v="850"/>
    <x v="0"/>
  </r>
  <r>
    <n v="57"/>
    <s v="Queensland"/>
    <s v="Metro"/>
    <n v="56"/>
    <s v="Single Person"/>
    <n v="15000"/>
    <s v="Private"/>
    <x v="3"/>
    <s v="No"/>
    <n v="3"/>
    <n v="7"/>
    <s v="No"/>
    <n v="4300"/>
    <n v="800"/>
    <x v="0"/>
  </r>
  <r>
    <n v="58"/>
    <s v="New South Wales"/>
    <s v="Regional"/>
    <n v="39"/>
    <s v="Couple with no Children"/>
    <n v="16000"/>
    <s v="Holiday"/>
    <x v="1"/>
    <s v="Yes"/>
    <n v="2"/>
    <n v="6"/>
    <s v="Yes"/>
    <n v="3500"/>
    <n v="850"/>
    <x v="0"/>
  </r>
  <r>
    <n v="59"/>
    <s v="Tasmania"/>
    <s v="Metro"/>
    <n v="33"/>
    <s v="Single Parent"/>
    <n v="8000"/>
    <s v="Work"/>
    <x v="2"/>
    <s v="Yes"/>
    <n v="5"/>
    <n v="4"/>
    <s v="Yes"/>
    <n v="3200"/>
    <n v="950"/>
    <x v="1"/>
  </r>
  <r>
    <n v="60"/>
    <s v="New South Wales"/>
    <s v="Regional"/>
    <n v="51"/>
    <s v="Couple with Children"/>
    <n v="10000"/>
    <s v="Private"/>
    <x v="3"/>
    <s v="Yes"/>
    <n v="4"/>
    <n v="7"/>
    <s v="Yes"/>
    <n v="4100"/>
    <n v="900"/>
    <x v="0"/>
  </r>
  <r>
    <n v="61"/>
    <s v="Victoria"/>
    <s v="Metro"/>
    <n v="47"/>
    <s v="Single Person"/>
    <n v="11000"/>
    <s v="Holiday"/>
    <x v="4"/>
    <s v="Yes"/>
    <n v="3"/>
    <n v="5"/>
    <s v="No"/>
    <n v="3400"/>
    <n v="950"/>
    <x v="0"/>
  </r>
  <r>
    <n v="62"/>
    <s v="Western Australia"/>
    <s v="Regional"/>
    <n v="31"/>
    <s v="Couple with no Children"/>
    <n v="12000"/>
    <s v="Work"/>
    <x v="3"/>
    <s v="No"/>
    <n v="5"/>
    <n v="6"/>
    <s v="No"/>
    <n v="3800"/>
    <n v="850"/>
    <x v="0"/>
  </r>
  <r>
    <n v="63"/>
    <s v="Queensland"/>
    <s v="Metro"/>
    <n v="54"/>
    <s v="Single Parent"/>
    <n v="14000"/>
    <s v="Private"/>
    <x v="0"/>
    <s v="Yes"/>
    <n v="2"/>
    <n v="5"/>
    <s v="No"/>
    <n v="3100"/>
    <n v="900"/>
    <x v="0"/>
  </r>
  <r>
    <n v="64"/>
    <s v="New South Wales"/>
    <s v="Regional"/>
    <n v="40"/>
    <s v="Couple with Children"/>
    <n v="15000"/>
    <s v="Holiday"/>
    <x v="1"/>
    <s v="Yes"/>
    <n v="3"/>
    <n v="7"/>
    <s v="Yes"/>
    <n v="4500"/>
    <n v="850"/>
    <x v="0"/>
  </r>
  <r>
    <n v="65"/>
    <s v="New South Wales"/>
    <s v="Metro"/>
    <n v="29"/>
    <s v="Couple with no Children"/>
    <n v="8000"/>
    <s v="Work"/>
    <x v="2"/>
    <s v="Yes"/>
    <n v="4"/>
    <n v="4"/>
    <s v="Yes"/>
    <n v="2800"/>
    <n v="950"/>
    <x v="1"/>
  </r>
  <r>
    <n v="66"/>
    <s v="Victoria"/>
    <s v="Regional"/>
    <n v="56"/>
    <s v="Single Person"/>
    <n v="9000"/>
    <s v="Private"/>
    <x v="4"/>
    <s v="Yes"/>
    <n v="5"/>
    <n v="6"/>
    <s v="No"/>
    <n v="4200"/>
    <n v="900"/>
    <x v="0"/>
  </r>
  <r>
    <n v="67"/>
    <s v="Western Australia"/>
    <s v="Metro"/>
    <n v="43"/>
    <s v="Couple with Children"/>
    <n v="10000"/>
    <s v="Holiday"/>
    <x v="3"/>
    <s v="No"/>
    <n v="3"/>
    <n v="5"/>
    <s v="No"/>
    <n v="3500"/>
    <n v="850"/>
    <x v="0"/>
  </r>
  <r>
    <n v="68"/>
    <s v="South Australia"/>
    <s v="Regional"/>
    <n v="30"/>
    <s v="Single Parent"/>
    <n v="11000"/>
    <s v="Work"/>
    <x v="0"/>
    <s v="Yes"/>
    <n v="5"/>
    <n v="7"/>
    <s v="No"/>
    <n v="2000"/>
    <n v="900"/>
    <x v="0"/>
  </r>
  <r>
    <n v="69"/>
    <s v="Victoria"/>
    <s v="Metro"/>
    <n v="42"/>
    <s v="Couple with Children"/>
    <n v="13000"/>
    <s v="Work"/>
    <x v="0"/>
    <s v="Yes"/>
    <n v="3"/>
    <n v="6"/>
    <s v="No"/>
    <n v="3200"/>
    <n v="750"/>
    <x v="0"/>
  </r>
  <r>
    <n v="70"/>
    <s v="Victoria"/>
    <s v="Regional"/>
    <n v="35"/>
    <s v="Couple with Children"/>
    <n v="11000"/>
    <s v="Private"/>
    <x v="1"/>
    <s v="Yes"/>
    <n v="4"/>
    <n v="5"/>
    <s v="Yes"/>
    <n v="3500"/>
    <n v="700"/>
    <x v="0"/>
  </r>
  <r>
    <n v="71"/>
    <s v="Queensland"/>
    <s v="Metro"/>
    <n v="49"/>
    <s v="Couple with no Children"/>
    <n v="12000"/>
    <s v="Holiday"/>
    <x v="2"/>
    <s v="Yes"/>
    <n v="2"/>
    <n v="7"/>
    <s v="Yes"/>
    <n v="3800"/>
    <n v="650"/>
    <x v="0"/>
  </r>
  <r>
    <n v="72"/>
    <s v="Victoria"/>
    <s v="Regional"/>
    <n v="27"/>
    <s v="Single Person"/>
    <n v="10000"/>
    <s v="Work"/>
    <x v="3"/>
    <s v="No"/>
    <n v="5"/>
    <n v="4"/>
    <s v="Yes"/>
    <n v="2800"/>
    <n v="800"/>
    <x v="1"/>
  </r>
  <r>
    <n v="73"/>
    <s v="South Australia"/>
    <s v="Metro"/>
    <n v="55"/>
    <s v="Single Parent"/>
    <n v="14000"/>
    <s v="Private"/>
    <x v="0"/>
    <s v="Yes"/>
    <n v="3"/>
    <n v="6"/>
    <s v="No"/>
    <n v="3300"/>
    <n v="750"/>
    <x v="0"/>
  </r>
  <r>
    <n v="74"/>
    <s v="New South Wales"/>
    <s v="Regional"/>
    <n v="41"/>
    <s v="Couple with Children"/>
    <n v="15000"/>
    <s v="Holiday"/>
    <x v="4"/>
    <s v="Yes"/>
    <n v="4"/>
    <n v="5"/>
    <s v="No"/>
    <n v="3700"/>
    <n v="700"/>
    <x v="0"/>
  </r>
  <r>
    <n v="75"/>
    <s v="South Australia"/>
    <s v="Metro"/>
    <n v="30"/>
    <s v="Couple with no Children"/>
    <n v="9000"/>
    <s v="Work"/>
    <x v="3"/>
    <s v="No"/>
    <n v="5"/>
    <n v="7"/>
    <s v="No"/>
    <n v="3000"/>
    <n v="850"/>
    <x v="0"/>
  </r>
  <r>
    <n v="76"/>
    <s v="New South Wales"/>
    <s v="Regional"/>
    <n v="47"/>
    <s v="Single Person"/>
    <n v="8000"/>
    <s v="Private"/>
    <x v="1"/>
    <s v="Yes"/>
    <n v="3"/>
    <n v="5"/>
    <s v="Yes"/>
    <n v="3500"/>
    <n v="750"/>
    <x v="0"/>
  </r>
  <r>
    <n v="77"/>
    <s v="South Australia"/>
    <s v="Metro"/>
    <n v="39"/>
    <s v="Single Parent"/>
    <n v="12000"/>
    <s v="Holiday"/>
    <x v="2"/>
    <s v="Yes"/>
    <n v="2"/>
    <n v="6"/>
    <s v="Yes"/>
    <n v="3100"/>
    <n v="800"/>
    <x v="0"/>
  </r>
  <r>
    <n v="78"/>
    <s v="Queensland"/>
    <s v="Regional"/>
    <n v="53"/>
    <s v="Couple with Children"/>
    <n v="13000"/>
    <s v="Work"/>
    <x v="3"/>
    <s v="No"/>
    <n v="4"/>
    <n v="5"/>
    <s v="Yes"/>
    <n v="3400"/>
    <n v="750"/>
    <x v="0"/>
  </r>
  <r>
    <n v="79"/>
    <s v="New South Wales"/>
    <s v="Metro"/>
    <n v="28"/>
    <s v="Couple with no Children"/>
    <n v="11000"/>
    <s v="Private"/>
    <x v="0"/>
    <s v="Yes"/>
    <n v="5"/>
    <n v="4"/>
    <s v="No"/>
    <n v="3800"/>
    <n v="700"/>
    <x v="1"/>
  </r>
  <r>
    <n v="80"/>
    <s v="Queensland"/>
    <s v="Regional"/>
    <n v="46"/>
    <s v="Single Person"/>
    <n v="10000"/>
    <s v="Holiday"/>
    <x v="4"/>
    <s v="Yes"/>
    <n v="3"/>
    <n v="7"/>
    <s v="No"/>
    <n v="3200"/>
    <n v="800"/>
    <x v="0"/>
  </r>
  <r>
    <n v="81"/>
    <s v="Western Australia"/>
    <s v="Metro"/>
    <n v="36"/>
    <s v="Couple with Children"/>
    <n v="14000"/>
    <s v="Work"/>
    <x v="3"/>
    <s v="No"/>
    <n v="2"/>
    <n v="6"/>
    <s v="No"/>
    <n v="3700"/>
    <n v="750"/>
    <x v="0"/>
  </r>
  <r>
    <n v="82"/>
    <s v="Queensland"/>
    <s v="Regional"/>
    <n v="50"/>
    <s v="Single Parent"/>
    <n v="15000"/>
    <s v="Private"/>
    <x v="1"/>
    <s v="Yes"/>
    <n v="4"/>
    <n v="5"/>
    <s v="Yes"/>
    <n v="3900"/>
    <n v="700"/>
    <x v="0"/>
  </r>
  <r>
    <n v="83"/>
    <s v="Queensland"/>
    <s v="Metro"/>
    <n v="32"/>
    <s v="Couple with no Children"/>
    <n v="9000"/>
    <s v="Holiday"/>
    <x v="2"/>
    <s v="Yes"/>
    <n v="3"/>
    <n v="7"/>
    <s v="Yes"/>
    <n v="3300"/>
    <n v="650"/>
    <x v="0"/>
  </r>
  <r>
    <n v="84"/>
    <s v="New South Wales"/>
    <s v="Regional"/>
    <n v="54"/>
    <s v="Single Person"/>
    <n v="12000"/>
    <s v="Work"/>
    <x v="3"/>
    <s v="No"/>
    <n v="5"/>
    <n v="4"/>
    <s v="Yes"/>
    <n v="2900"/>
    <n v="850"/>
    <x v="1"/>
  </r>
  <r>
    <n v="85"/>
    <s v="Victoria"/>
    <s v="Metro"/>
    <n v="40"/>
    <s v="Couple with Children"/>
    <n v="13000"/>
    <s v="Private"/>
    <x v="0"/>
    <s v="Yes"/>
    <n v="2"/>
    <n v="6"/>
    <s v="No"/>
    <n v="3500"/>
    <n v="750"/>
    <x v="0"/>
  </r>
  <r>
    <n v="86"/>
    <s v="New South Wales"/>
    <s v="Regional"/>
    <n v="29"/>
    <s v="Couple with no Children"/>
    <n v="11000"/>
    <s v="Holiday"/>
    <x v="4"/>
    <s v="Yes"/>
    <n v="4"/>
    <n v="5"/>
    <s v="No"/>
    <n v="3800"/>
    <n v="700"/>
    <x v="0"/>
  </r>
  <r>
    <n v="87"/>
    <s v="Queensland"/>
    <s v="Metro"/>
    <n v="45"/>
    <s v="Single Parent"/>
    <n v="10000"/>
    <s v="Work"/>
    <x v="3"/>
    <s v="No"/>
    <n v="3"/>
    <n v="7"/>
    <s v="No"/>
    <n v="3100"/>
    <n v="800"/>
    <x v="0"/>
  </r>
  <r>
    <n v="88"/>
    <s v="Victoria"/>
    <s v="Regional"/>
    <n v="37"/>
    <s v="Couple with Children"/>
    <n v="14000"/>
    <s v="Private"/>
    <x v="1"/>
    <s v="Yes"/>
    <n v="5"/>
    <n v="4"/>
    <s v="Yes"/>
    <n v="3300"/>
    <n v="750"/>
    <x v="1"/>
  </r>
  <r>
    <n v="89"/>
    <s v="Victoria"/>
    <s v="Metro"/>
    <n v="51"/>
    <s v="Single Person"/>
    <n v="15000"/>
    <s v="Holiday"/>
    <x v="2"/>
    <s v="Yes"/>
    <n v="2"/>
    <n v="6"/>
    <s v="Yes"/>
    <n v="3700"/>
    <n v="700"/>
    <x v="0"/>
  </r>
  <r>
    <n v="90"/>
    <s v="Victoria"/>
    <s v="Regional"/>
    <n v="33"/>
    <s v="Couple with no Children"/>
    <n v="9000"/>
    <s v="Work"/>
    <x v="3"/>
    <s v="No"/>
    <n v="4"/>
    <n v="5"/>
    <s v="Yes"/>
    <n v="3200"/>
    <n v="650"/>
    <x v="0"/>
  </r>
  <r>
    <n v="91"/>
    <s v="Queensland"/>
    <s v="Metro"/>
    <n v="48"/>
    <s v="Single Parent"/>
    <n v="12000"/>
    <s v="Private"/>
    <x v="0"/>
    <s v="Yes"/>
    <n v="3"/>
    <n v="7"/>
    <s v="No"/>
    <n v="3600"/>
    <n v="850"/>
    <x v="0"/>
  </r>
  <r>
    <n v="92"/>
    <s v="New South Wales"/>
    <s v="Regional"/>
    <n v="31"/>
    <s v="Couple with Children"/>
    <n v="13000"/>
    <s v="Holiday"/>
    <x v="4"/>
    <s v="Yes"/>
    <n v="4"/>
    <n v="5"/>
    <s v="No"/>
    <n v="3900"/>
    <n v="800"/>
    <x v="0"/>
  </r>
  <r>
    <n v="93"/>
    <s v="Queensland"/>
    <s v="Metro"/>
    <n v="56"/>
    <s v="Single Person"/>
    <n v="11000"/>
    <s v="Work"/>
    <x v="3"/>
    <s v="No"/>
    <n v="2"/>
    <n v="6"/>
    <s v="No"/>
    <n v="3300"/>
    <n v="750"/>
    <x v="0"/>
  </r>
  <r>
    <n v="94"/>
    <s v="Queensland"/>
    <s v="Regional"/>
    <n v="38"/>
    <s v="Couple with no Children"/>
    <n v="10000"/>
    <s v="Private"/>
    <x v="1"/>
    <s v="Yes"/>
    <n v="5"/>
    <n v="4"/>
    <s v="No"/>
    <n v="3100"/>
    <n v="700"/>
    <x v="1"/>
  </r>
  <r>
    <n v="95"/>
    <s v="New South Wales"/>
    <s v="Metro"/>
    <n v="44"/>
    <s v="Single Parent"/>
    <n v="14000"/>
    <s v="Holiday"/>
    <x v="2"/>
    <s v="Yes"/>
    <n v="3"/>
    <n v="7"/>
    <s v="Yes"/>
    <n v="3400"/>
    <n v="650"/>
    <x v="0"/>
  </r>
  <r>
    <n v="96"/>
    <s v="New South Wales"/>
    <s v="Metro"/>
    <n v="34"/>
    <s v="Couple with Children"/>
    <n v="15000"/>
    <s v="Work"/>
    <x v="3"/>
    <s v="No"/>
    <n v="4"/>
    <n v="5"/>
    <s v="Yes"/>
    <n v="2800"/>
    <n v="850"/>
    <x v="0"/>
  </r>
  <r>
    <n v="97"/>
    <s v="New South Wales"/>
    <s v="Metro"/>
    <n v="52"/>
    <s v="Single Person"/>
    <n v="9000"/>
    <s v="Private"/>
    <x v="0"/>
    <s v="Yes"/>
    <n v="3"/>
    <n v="6"/>
    <s v="No"/>
    <n v="3200"/>
    <n v="800"/>
    <x v="0"/>
  </r>
  <r>
    <n v="98"/>
    <s v="Queensland"/>
    <s v="Metro"/>
    <n v="30"/>
    <s v="Couple with no Children"/>
    <n v="12000"/>
    <s v="Holiday"/>
    <x v="4"/>
    <s v="Yes"/>
    <n v="2"/>
    <n v="5"/>
    <s v="No"/>
    <n v="3600"/>
    <n v="750"/>
    <x v="0"/>
  </r>
  <r>
    <n v="99"/>
    <s v="Australian Capital Territory"/>
    <s v="Metro"/>
    <n v="49"/>
    <s v="Single Parent"/>
    <n v="11000"/>
    <s v="Work"/>
    <x v="3"/>
    <s v="No"/>
    <n v="5"/>
    <n v="7"/>
    <s v="Yes"/>
    <n v="3000"/>
    <n v="700"/>
    <x v="0"/>
  </r>
  <r>
    <n v="100"/>
    <s v="South Australia"/>
    <s v="Metro"/>
    <n v="37"/>
    <s v="Couple with Children"/>
    <n v="10000"/>
    <s v="Private"/>
    <x v="1"/>
    <s v="Yes"/>
    <n v="4"/>
    <n v="6"/>
    <s v="Yes"/>
    <n v="3400"/>
    <n v="650"/>
    <x v="0"/>
  </r>
  <r>
    <n v="101"/>
    <s v="South Australia"/>
    <s v="Metro"/>
    <n v="45"/>
    <s v="Single Person"/>
    <n v="14000"/>
    <s v="Holiday"/>
    <x v="2"/>
    <s v="Yes"/>
    <n v="3"/>
    <n v="5"/>
    <s v="Yes"/>
    <n v="3700"/>
    <n v="850"/>
    <x v="0"/>
  </r>
  <r>
    <n v="102"/>
    <s v="Victoria"/>
    <s v="Metro"/>
    <n v="31"/>
    <s v="Couple with no Children"/>
    <n v="13000"/>
    <s v="Work"/>
    <x v="3"/>
    <s v="No"/>
    <n v="2"/>
    <n v="6"/>
    <s v="No"/>
    <n v="3100"/>
    <n v="75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C1BFBD-E654-FA4F-986F-3032DD1FEFB2}"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1" firstDataRow="2" firstDataCol="1"/>
  <pivotFields count="14">
    <pivotField numFmtId="1" showAll="0"/>
    <pivotField showAll="0"/>
    <pivotField axis="axisRow" showAll="0">
      <items count="3">
        <item x="0"/>
        <item x="1"/>
        <item t="default"/>
      </items>
    </pivotField>
    <pivotField numFmtId="1" showAll="0"/>
    <pivotField showAll="0"/>
    <pivotField numFmtId="1" showAll="0"/>
    <pivotField showAll="0"/>
    <pivotField showAll="0"/>
    <pivotField axis="axisCol" dataField="1" showAll="0">
      <items count="3">
        <item x="0"/>
        <item x="1"/>
        <item t="default"/>
      </items>
    </pivotField>
    <pivotField numFmtId="1" showAll="0"/>
    <pivotField numFmtId="1" showAll="0"/>
    <pivotField showAll="0"/>
    <pivotField numFmtId="1" showAll="0"/>
    <pivotField numFmtId="1" showAll="0"/>
  </pivotFields>
  <rowFields count="1">
    <field x="2"/>
  </rowFields>
  <rowItems count="3">
    <i>
      <x/>
    </i>
    <i>
      <x v="1"/>
    </i>
    <i t="grand">
      <x/>
    </i>
  </rowItems>
  <colFields count="1">
    <field x="8"/>
  </colFields>
  <colItems count="3">
    <i>
      <x/>
    </i>
    <i>
      <x v="1"/>
    </i>
    <i t="grand">
      <x/>
    </i>
  </colItems>
  <dataFields count="1">
    <dataField name="Count of EV_Towing" fld="8" subtotal="count" baseField="0" baseItem="0"/>
  </dataFields>
  <formats count="20">
    <format dxfId="23">
      <pivotArea type="all" dataOnly="0" outline="0" fieldPosition="0"/>
    </format>
    <format dxfId="22">
      <pivotArea outline="0" collapsedLevelsAreSubtotals="1" fieldPosition="0"/>
    </format>
    <format dxfId="21">
      <pivotArea type="origin" dataOnly="0" labelOnly="1" outline="0" fieldPosition="0"/>
    </format>
    <format dxfId="20">
      <pivotArea field="8" type="button" dataOnly="0" labelOnly="1" outline="0" axis="axisCol" fieldPosition="0"/>
    </format>
    <format dxfId="19">
      <pivotArea type="topRight" dataOnly="0" labelOnly="1" outline="0" fieldPosition="0"/>
    </format>
    <format dxfId="18">
      <pivotArea field="2" type="button" dataOnly="0" labelOnly="1" outline="0" axis="axisRow" fieldPosition="0"/>
    </format>
    <format dxfId="17">
      <pivotArea dataOnly="0" labelOnly="1" fieldPosition="0">
        <references count="1">
          <reference field="2" count="0"/>
        </references>
      </pivotArea>
    </format>
    <format dxfId="16">
      <pivotArea dataOnly="0" labelOnly="1" grandRow="1" outline="0" fieldPosition="0"/>
    </format>
    <format dxfId="15">
      <pivotArea dataOnly="0" labelOnly="1" fieldPosition="0">
        <references count="1">
          <reference field="8" count="0"/>
        </references>
      </pivotArea>
    </format>
    <format dxfId="14">
      <pivotArea dataOnly="0" labelOnly="1" grandCol="1" outline="0" fieldPosition="0"/>
    </format>
    <format dxfId="13">
      <pivotArea type="all" dataOnly="0" outline="0" fieldPosition="0"/>
    </format>
    <format dxfId="12">
      <pivotArea outline="0" collapsedLevelsAreSubtotals="1" fieldPosition="0"/>
    </format>
    <format dxfId="11">
      <pivotArea type="origin" dataOnly="0" labelOnly="1" outline="0" fieldPosition="0"/>
    </format>
    <format dxfId="10">
      <pivotArea field="8" type="button" dataOnly="0" labelOnly="1" outline="0" axis="axisCol" fieldPosition="0"/>
    </format>
    <format dxfId="9">
      <pivotArea type="topRight" dataOnly="0" labelOnly="1" outline="0" fieldPosition="0"/>
    </format>
    <format dxfId="8">
      <pivotArea field="2" type="button" dataOnly="0" labelOnly="1" outline="0" axis="axisRow" fieldPosition="0"/>
    </format>
    <format dxfId="7">
      <pivotArea dataOnly="0" labelOnly="1" fieldPosition="0">
        <references count="1">
          <reference field="2" count="0"/>
        </references>
      </pivotArea>
    </format>
    <format dxfId="6">
      <pivotArea dataOnly="0" labelOnly="1" grandRow="1" outline="0" fieldPosition="0"/>
    </format>
    <format dxfId="5">
      <pivotArea dataOnly="0" labelOnly="1" fieldPosition="0">
        <references count="1">
          <reference field="8" count="0"/>
        </references>
      </pivotArea>
    </format>
    <format dxfId="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141AF4-E5C4-114E-84F6-12D280C3EE21}"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G5" firstHeaderRow="1" firstDataRow="2" firstDataCol="1"/>
  <pivotFields count="15">
    <pivotField numFmtId="1" showAll="0"/>
    <pivotField showAll="0"/>
    <pivotField showAll="0"/>
    <pivotField numFmtId="1" showAll="0"/>
    <pivotField showAll="0"/>
    <pivotField numFmtId="1" showAll="0"/>
    <pivotField showAll="0"/>
    <pivotField axis="axisCol" showAll="0">
      <items count="6">
        <item x="2"/>
        <item x="0"/>
        <item x="3"/>
        <item x="4"/>
        <item x="1"/>
        <item t="default"/>
      </items>
    </pivotField>
    <pivotField showAll="0"/>
    <pivotField numFmtId="1" showAll="0"/>
    <pivotField numFmtId="1" showAll="0"/>
    <pivotField showAll="0"/>
    <pivotField numFmtId="1" showAll="0"/>
    <pivotField numFmtId="1" showAll="0"/>
    <pivotField axis="axisRow" dataField="1" showAll="0">
      <items count="3">
        <item x="1"/>
        <item x="0"/>
        <item t="default"/>
      </items>
    </pivotField>
  </pivotFields>
  <rowFields count="1">
    <field x="14"/>
  </rowFields>
  <rowItems count="3">
    <i>
      <x/>
    </i>
    <i>
      <x v="1"/>
    </i>
    <i t="grand">
      <x/>
    </i>
  </rowItems>
  <colFields count="1">
    <field x="7"/>
  </colFields>
  <colItems count="6">
    <i>
      <x/>
    </i>
    <i>
      <x v="1"/>
    </i>
    <i>
      <x v="2"/>
    </i>
    <i>
      <x v="3"/>
    </i>
    <i>
      <x v="4"/>
    </i>
    <i t="grand">
      <x/>
    </i>
  </colItems>
  <dataFields count="1">
    <dataField name="Count of Charge_at_home_N"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8B7F0-D4BA-4830-95BE-A9C1E57E7918}">
  <sheetPr>
    <tabColor rgb="FFFF0000"/>
  </sheetPr>
  <dimension ref="A1:B2"/>
  <sheetViews>
    <sheetView workbookViewId="0">
      <selection activeCell="H15" sqref="H15"/>
    </sheetView>
  </sheetViews>
  <sheetFormatPr baseColWidth="10" defaultColWidth="8.83203125" defaultRowHeight="15" x14ac:dyDescent="0.2"/>
  <sheetData>
    <row r="1" spans="1:2" ht="19" x14ac:dyDescent="0.25">
      <c r="B1" s="12" t="s">
        <v>92</v>
      </c>
    </row>
    <row r="2" spans="1:2" ht="19" x14ac:dyDescent="0.2">
      <c r="A2" s="14" t="s">
        <v>91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DAF5A-3162-4E1F-8149-DDDDCA0506AE}">
  <sheetPr>
    <tabColor theme="4"/>
  </sheetPr>
  <dimension ref="A1:B14"/>
  <sheetViews>
    <sheetView zoomScale="212" workbookViewId="0">
      <selection activeCell="B13" sqref="B13"/>
    </sheetView>
  </sheetViews>
  <sheetFormatPr baseColWidth="10" defaultColWidth="8.83203125" defaultRowHeight="15" x14ac:dyDescent="0.2"/>
  <cols>
    <col min="1" max="1" width="19" bestFit="1" customWidth="1"/>
    <col min="2" max="2" width="79.6640625" customWidth="1"/>
  </cols>
  <sheetData>
    <row r="1" spans="1:2" x14ac:dyDescent="0.2">
      <c r="A1" s="13" t="s">
        <v>93</v>
      </c>
      <c r="B1" s="13" t="s">
        <v>94</v>
      </c>
    </row>
    <row r="2" spans="1:2" x14ac:dyDescent="0.2">
      <c r="A2" t="s">
        <v>1</v>
      </c>
      <c r="B2" t="s">
        <v>95</v>
      </c>
    </row>
    <row r="3" spans="1:2" x14ac:dyDescent="0.2">
      <c r="A3" t="s">
        <v>2</v>
      </c>
      <c r="B3" t="s">
        <v>96</v>
      </c>
    </row>
    <row r="4" spans="1:2" x14ac:dyDescent="0.2">
      <c r="A4" t="s">
        <v>97</v>
      </c>
      <c r="B4" t="s">
        <v>98</v>
      </c>
    </row>
    <row r="5" spans="1:2" x14ac:dyDescent="0.2">
      <c r="A5" t="s">
        <v>4</v>
      </c>
      <c r="B5" t="s">
        <v>99</v>
      </c>
    </row>
    <row r="6" spans="1:2" x14ac:dyDescent="0.2">
      <c r="A6" t="s">
        <v>5</v>
      </c>
      <c r="B6" t="s">
        <v>100</v>
      </c>
    </row>
    <row r="7" spans="1:2" x14ac:dyDescent="0.2">
      <c r="A7" t="s">
        <v>6</v>
      </c>
      <c r="B7" t="s">
        <v>101</v>
      </c>
    </row>
    <row r="8" spans="1:2" x14ac:dyDescent="0.2">
      <c r="A8" t="s">
        <v>60</v>
      </c>
      <c r="B8" t="s">
        <v>102</v>
      </c>
    </row>
    <row r="9" spans="1:2" x14ac:dyDescent="0.2">
      <c r="A9" t="s">
        <v>59</v>
      </c>
      <c r="B9" t="s">
        <v>103</v>
      </c>
    </row>
    <row r="10" spans="1:2" x14ac:dyDescent="0.2">
      <c r="A10" t="s">
        <v>104</v>
      </c>
      <c r="B10" t="s">
        <v>105</v>
      </c>
    </row>
    <row r="11" spans="1:2" x14ac:dyDescent="0.2">
      <c r="A11" t="s">
        <v>32</v>
      </c>
      <c r="B11" t="s">
        <v>106</v>
      </c>
    </row>
    <row r="12" spans="1:2" x14ac:dyDescent="0.2">
      <c r="A12" t="s">
        <v>7</v>
      </c>
      <c r="B12" t="s">
        <v>107</v>
      </c>
    </row>
    <row r="13" spans="1:2" x14ac:dyDescent="0.2">
      <c r="A13" t="s">
        <v>33</v>
      </c>
      <c r="B13" t="s">
        <v>108</v>
      </c>
    </row>
    <row r="14" spans="1:2" x14ac:dyDescent="0.2">
      <c r="A14" t="s">
        <v>34</v>
      </c>
      <c r="B14" t="s">
        <v>109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2740E-23BA-4793-81C7-BC419287D6B3}">
  <sheetPr>
    <tabColor theme="6" tint="0.59999389629810485"/>
  </sheetPr>
  <dimension ref="A1:O103"/>
  <sheetViews>
    <sheetView topLeftCell="E1" zoomScale="109" zoomScaleNormal="98" workbookViewId="0">
      <selection activeCell="O60" sqref="O60"/>
    </sheetView>
  </sheetViews>
  <sheetFormatPr baseColWidth="10" defaultColWidth="8.6640625" defaultRowHeight="15" x14ac:dyDescent="0.2"/>
  <cols>
    <col min="1" max="1" width="5.5" style="1" bestFit="1" customWidth="1"/>
    <col min="2" max="2" width="22.6640625" style="1" bestFit="1" customWidth="1"/>
    <col min="3" max="3" width="7.83203125" style="1" bestFit="1" customWidth="1"/>
    <col min="4" max="4" width="3.83203125" style="1" bestFit="1" customWidth="1"/>
    <col min="5" max="5" width="20.1640625" style="1" bestFit="1" customWidth="1"/>
    <col min="6" max="6" width="10.5" style="1" bestFit="1" customWidth="1"/>
    <col min="7" max="7" width="9" style="1" bestFit="1" customWidth="1"/>
    <col min="8" max="8" width="11.6640625" style="1" bestFit="1" customWidth="1"/>
    <col min="9" max="9" width="10.5" style="1" bestFit="1" customWidth="1"/>
    <col min="10" max="10" width="15.1640625" style="1" bestFit="1" customWidth="1"/>
    <col min="11" max="11" width="15.5" style="1" bestFit="1" customWidth="1"/>
    <col min="12" max="12" width="16.5" style="1" bestFit="1" customWidth="1"/>
    <col min="13" max="13" width="11.83203125" style="1" bestFit="1" customWidth="1"/>
    <col min="14" max="14" width="19.33203125" style="1" bestFit="1" customWidth="1"/>
    <col min="15" max="15" width="21.83203125" style="1" bestFit="1" customWidth="1"/>
    <col min="16" max="16384" width="8.6640625" style="1"/>
  </cols>
  <sheetData>
    <row r="1" spans="1:15" s="3" customFormat="1" x14ac:dyDescent="0.2">
      <c r="A1" s="3" t="s">
        <v>0</v>
      </c>
      <c r="B1" s="3" t="s">
        <v>1</v>
      </c>
      <c r="C1" s="3" t="s">
        <v>2</v>
      </c>
      <c r="D1" s="3" t="s">
        <v>3</v>
      </c>
      <c r="E1" s="3" t="s">
        <v>4</v>
      </c>
      <c r="F1" s="3" t="s">
        <v>5</v>
      </c>
      <c r="G1" s="3" t="s">
        <v>6</v>
      </c>
      <c r="H1" s="3" t="s">
        <v>60</v>
      </c>
      <c r="I1" s="3" t="s">
        <v>59</v>
      </c>
      <c r="J1" s="3" t="s">
        <v>31</v>
      </c>
      <c r="K1" s="3" t="s">
        <v>32</v>
      </c>
      <c r="L1" s="3" t="s">
        <v>7</v>
      </c>
      <c r="M1" s="3" t="s">
        <v>33</v>
      </c>
      <c r="N1" s="3" t="s">
        <v>34</v>
      </c>
      <c r="O1" s="48" t="s">
        <v>234</v>
      </c>
    </row>
    <row r="2" spans="1:15" x14ac:dyDescent="0.2">
      <c r="A2" s="2">
        <v>1</v>
      </c>
      <c r="B2" s="1" t="s">
        <v>18</v>
      </c>
      <c r="C2" s="1" t="s">
        <v>9</v>
      </c>
      <c r="D2" s="2">
        <v>45</v>
      </c>
      <c r="E2" s="1" t="s">
        <v>22</v>
      </c>
      <c r="F2" s="2">
        <v>15000</v>
      </c>
      <c r="G2" s="1" t="s">
        <v>30</v>
      </c>
      <c r="H2" s="1" t="s">
        <v>21</v>
      </c>
      <c r="I2" s="1" t="s">
        <v>20</v>
      </c>
      <c r="J2" s="2">
        <v>3</v>
      </c>
      <c r="K2" s="2">
        <v>7</v>
      </c>
      <c r="L2" s="1" t="s">
        <v>20</v>
      </c>
      <c r="M2" s="2">
        <v>4000</v>
      </c>
      <c r="N2" s="2">
        <v>600</v>
      </c>
      <c r="O2" s="2" t="str">
        <f>IF(K2&gt;=5,"More than 5 times per week", "Less than 5 times per week")</f>
        <v>More than 5 times per week</v>
      </c>
    </row>
    <row r="3" spans="1:15" x14ac:dyDescent="0.2">
      <c r="A3" s="2">
        <v>2</v>
      </c>
      <c r="B3" s="1" t="s">
        <v>27</v>
      </c>
      <c r="C3" s="1" t="s">
        <v>15</v>
      </c>
      <c r="D3" s="2">
        <v>32</v>
      </c>
      <c r="E3" s="1" t="s">
        <v>22</v>
      </c>
      <c r="F3" s="2">
        <v>12000</v>
      </c>
      <c r="G3" s="1" t="s">
        <v>28</v>
      </c>
      <c r="H3" s="1" t="s">
        <v>17</v>
      </c>
      <c r="I3" s="1" t="s">
        <v>13</v>
      </c>
      <c r="J3" s="2">
        <v>2</v>
      </c>
      <c r="K3" s="2">
        <v>5</v>
      </c>
      <c r="L3" s="1" t="s">
        <v>13</v>
      </c>
      <c r="M3" s="2">
        <v>3000</v>
      </c>
      <c r="N3" s="2">
        <v>750</v>
      </c>
      <c r="O3" s="2" t="str">
        <f t="shared" ref="O3:O66" si="0">IF(K3&gt;=5,"More than 5 times per week", "Less than 5 times per week")</f>
        <v>More than 5 times per week</v>
      </c>
    </row>
    <row r="4" spans="1:15" x14ac:dyDescent="0.2">
      <c r="A4" s="2">
        <v>3</v>
      </c>
      <c r="B4" s="1" t="s">
        <v>8</v>
      </c>
      <c r="C4" s="1" t="s">
        <v>9</v>
      </c>
      <c r="D4" s="2">
        <v>50</v>
      </c>
      <c r="E4" s="1" t="s">
        <v>10</v>
      </c>
      <c r="F4" s="2">
        <v>10000</v>
      </c>
      <c r="G4" s="1" t="s">
        <v>11</v>
      </c>
      <c r="H4" s="1" t="s">
        <v>12</v>
      </c>
      <c r="I4" s="1" t="s">
        <v>13</v>
      </c>
      <c r="J4" s="2">
        <v>4</v>
      </c>
      <c r="K4" s="2">
        <v>6</v>
      </c>
      <c r="L4" s="1" t="s">
        <v>13</v>
      </c>
      <c r="M4" s="2">
        <v>3500</v>
      </c>
      <c r="N4" s="2">
        <v>700</v>
      </c>
      <c r="O4" s="2" t="str">
        <f t="shared" si="0"/>
        <v>More than 5 times per week</v>
      </c>
    </row>
    <row r="5" spans="1:15" x14ac:dyDescent="0.2">
      <c r="A5" s="2">
        <v>4</v>
      </c>
      <c r="B5" s="1" t="s">
        <v>14</v>
      </c>
      <c r="C5" s="1" t="s">
        <v>15</v>
      </c>
      <c r="D5" s="2">
        <v>28</v>
      </c>
      <c r="E5" s="1" t="s">
        <v>16</v>
      </c>
      <c r="F5" s="2">
        <v>8000</v>
      </c>
      <c r="G5" s="1" t="s">
        <v>30</v>
      </c>
      <c r="H5" s="1" t="s">
        <v>29</v>
      </c>
      <c r="I5" s="1" t="s">
        <v>20</v>
      </c>
      <c r="J5" s="2">
        <v>5</v>
      </c>
      <c r="K5" s="2">
        <v>4</v>
      </c>
      <c r="L5" s="1" t="s">
        <v>13</v>
      </c>
      <c r="M5" s="2">
        <v>2500</v>
      </c>
      <c r="N5" s="2">
        <v>850</v>
      </c>
      <c r="O5" s="2" t="str">
        <f t="shared" si="0"/>
        <v>Less than 5 times per week</v>
      </c>
    </row>
    <row r="6" spans="1:15" x14ac:dyDescent="0.2">
      <c r="A6" s="2">
        <v>5</v>
      </c>
      <c r="B6" s="1" t="s">
        <v>8</v>
      </c>
      <c r="C6" s="1" t="s">
        <v>9</v>
      </c>
      <c r="D6" s="2">
        <v>55</v>
      </c>
      <c r="E6" s="1" t="s">
        <v>19</v>
      </c>
      <c r="F6" s="2">
        <v>9000</v>
      </c>
      <c r="G6" s="1" t="s">
        <v>28</v>
      </c>
      <c r="H6" s="1" t="s">
        <v>21</v>
      </c>
      <c r="I6" s="1" t="s">
        <v>13</v>
      </c>
      <c r="J6" s="2">
        <v>3</v>
      </c>
      <c r="K6" s="2">
        <v>7</v>
      </c>
      <c r="L6" s="1" t="s">
        <v>20</v>
      </c>
      <c r="M6" s="2">
        <v>2800</v>
      </c>
      <c r="N6" s="2">
        <v>800</v>
      </c>
      <c r="O6" s="2" t="str">
        <f t="shared" si="0"/>
        <v>More than 5 times per week</v>
      </c>
    </row>
    <row r="7" spans="1:15" x14ac:dyDescent="0.2">
      <c r="A7" s="2">
        <v>6</v>
      </c>
      <c r="B7" s="1" t="s">
        <v>8</v>
      </c>
      <c r="C7" s="1" t="s">
        <v>15</v>
      </c>
      <c r="D7" s="2">
        <v>40</v>
      </c>
      <c r="E7" s="1" t="s">
        <v>22</v>
      </c>
      <c r="F7" s="2">
        <v>11000</v>
      </c>
      <c r="G7" s="1" t="s">
        <v>30</v>
      </c>
      <c r="H7" s="1" t="s">
        <v>24</v>
      </c>
      <c r="I7" s="1" t="s">
        <v>13</v>
      </c>
      <c r="J7" s="2">
        <v>2</v>
      </c>
      <c r="K7" s="2">
        <v>5</v>
      </c>
      <c r="L7" s="1" t="s">
        <v>20</v>
      </c>
      <c r="M7" s="2">
        <v>3200</v>
      </c>
      <c r="N7" s="2">
        <v>750</v>
      </c>
      <c r="O7" s="2" t="str">
        <f t="shared" si="0"/>
        <v>More than 5 times per week</v>
      </c>
    </row>
    <row r="8" spans="1:15" x14ac:dyDescent="0.2">
      <c r="A8" s="2">
        <v>7</v>
      </c>
      <c r="B8" s="1" t="s">
        <v>8</v>
      </c>
      <c r="C8" s="1" t="s">
        <v>9</v>
      </c>
      <c r="D8" s="2">
        <v>38</v>
      </c>
      <c r="E8" s="1" t="s">
        <v>10</v>
      </c>
      <c r="F8" s="2">
        <v>13000</v>
      </c>
      <c r="G8" s="1" t="s">
        <v>28</v>
      </c>
      <c r="H8" s="1" t="s">
        <v>29</v>
      </c>
      <c r="I8" s="1" t="s">
        <v>20</v>
      </c>
      <c r="J8" s="2">
        <v>3</v>
      </c>
      <c r="K8" s="2">
        <v>6</v>
      </c>
      <c r="L8" s="1" t="s">
        <v>20</v>
      </c>
      <c r="M8" s="2">
        <v>3800</v>
      </c>
      <c r="N8" s="2">
        <v>700</v>
      </c>
      <c r="O8" s="2" t="str">
        <f t="shared" si="0"/>
        <v>More than 5 times per week</v>
      </c>
    </row>
    <row r="9" spans="1:15" x14ac:dyDescent="0.2">
      <c r="A9" s="2">
        <v>8</v>
      </c>
      <c r="B9" s="1" t="s">
        <v>14</v>
      </c>
      <c r="C9" s="1" t="s">
        <v>15</v>
      </c>
      <c r="D9" s="2">
        <v>48</v>
      </c>
      <c r="E9" s="1" t="s">
        <v>16</v>
      </c>
      <c r="F9" s="2">
        <v>14000</v>
      </c>
      <c r="G9" s="1" t="s">
        <v>11</v>
      </c>
      <c r="H9" s="1" t="s">
        <v>17</v>
      </c>
      <c r="I9" s="1" t="s">
        <v>13</v>
      </c>
      <c r="J9" s="2">
        <v>4</v>
      </c>
      <c r="K9" s="2">
        <v>4</v>
      </c>
      <c r="L9" s="1" t="s">
        <v>13</v>
      </c>
      <c r="M9" s="2">
        <v>4200</v>
      </c>
      <c r="N9" s="2">
        <v>650</v>
      </c>
      <c r="O9" s="2" t="str">
        <f t="shared" si="0"/>
        <v>Less than 5 times per week</v>
      </c>
    </row>
    <row r="10" spans="1:15" x14ac:dyDescent="0.2">
      <c r="A10" s="2">
        <v>9</v>
      </c>
      <c r="B10" s="1" t="s">
        <v>8</v>
      </c>
      <c r="C10" s="1" t="s">
        <v>9</v>
      </c>
      <c r="D10" s="2">
        <v>42</v>
      </c>
      <c r="E10" s="1" t="s">
        <v>22</v>
      </c>
      <c r="F10" s="2">
        <v>16000</v>
      </c>
      <c r="G10" s="1" t="s">
        <v>30</v>
      </c>
      <c r="H10" s="1" t="s">
        <v>12</v>
      </c>
      <c r="I10" s="1" t="s">
        <v>13</v>
      </c>
      <c r="J10" s="2">
        <v>5</v>
      </c>
      <c r="K10" s="2">
        <v>3</v>
      </c>
      <c r="L10" s="1" t="s">
        <v>13</v>
      </c>
      <c r="M10" s="2">
        <v>3800</v>
      </c>
      <c r="N10" s="2">
        <v>750</v>
      </c>
      <c r="O10" s="2" t="str">
        <f t="shared" si="0"/>
        <v>Less than 5 times per week</v>
      </c>
    </row>
    <row r="11" spans="1:15" x14ac:dyDescent="0.2">
      <c r="A11" s="2">
        <v>10</v>
      </c>
      <c r="B11" s="1" t="s">
        <v>14</v>
      </c>
      <c r="C11" s="1" t="s">
        <v>15</v>
      </c>
      <c r="D11" s="2">
        <v>30</v>
      </c>
      <c r="E11" s="1" t="s">
        <v>19</v>
      </c>
      <c r="F11" s="2">
        <v>10000</v>
      </c>
      <c r="G11" s="1" t="s">
        <v>28</v>
      </c>
      <c r="H11" s="1" t="s">
        <v>21</v>
      </c>
      <c r="I11" s="1" t="s">
        <v>13</v>
      </c>
      <c r="J11" s="2">
        <v>3</v>
      </c>
      <c r="K11" s="2">
        <v>6</v>
      </c>
      <c r="L11" s="1" t="s">
        <v>20</v>
      </c>
      <c r="M11" s="2">
        <v>2900</v>
      </c>
      <c r="N11" s="2">
        <v>800</v>
      </c>
      <c r="O11" s="2" t="str">
        <f t="shared" si="0"/>
        <v>More than 5 times per week</v>
      </c>
    </row>
    <row r="12" spans="1:15" x14ac:dyDescent="0.2">
      <c r="A12" s="2">
        <v>11</v>
      </c>
      <c r="B12" s="1" t="s">
        <v>18</v>
      </c>
      <c r="C12" s="1" t="s">
        <v>9</v>
      </c>
      <c r="D12" s="2">
        <v>52</v>
      </c>
      <c r="E12" s="1" t="s">
        <v>10</v>
      </c>
      <c r="F12" s="2">
        <v>12000</v>
      </c>
      <c r="G12" s="1" t="s">
        <v>11</v>
      </c>
      <c r="H12" s="1" t="s">
        <v>17</v>
      </c>
      <c r="I12" s="1" t="s">
        <v>13</v>
      </c>
      <c r="J12" s="2">
        <v>2</v>
      </c>
      <c r="K12" s="2">
        <v>7</v>
      </c>
      <c r="L12" s="1" t="s">
        <v>13</v>
      </c>
      <c r="M12" s="2">
        <v>3400</v>
      </c>
      <c r="N12" s="2">
        <v>700</v>
      </c>
      <c r="O12" s="2" t="str">
        <f t="shared" si="0"/>
        <v>More than 5 times per week</v>
      </c>
    </row>
    <row r="13" spans="1:15" x14ac:dyDescent="0.2">
      <c r="A13" s="2">
        <v>12</v>
      </c>
      <c r="B13" s="1" t="s">
        <v>8</v>
      </c>
      <c r="C13" s="1" t="s">
        <v>15</v>
      </c>
      <c r="D13" s="2">
        <v>35</v>
      </c>
      <c r="E13" s="1" t="s">
        <v>22</v>
      </c>
      <c r="F13" s="2">
        <v>11000</v>
      </c>
      <c r="G13" s="1" t="s">
        <v>30</v>
      </c>
      <c r="H13" s="1" t="s">
        <v>29</v>
      </c>
      <c r="I13" s="1" t="s">
        <v>20</v>
      </c>
      <c r="J13" s="2">
        <v>3</v>
      </c>
      <c r="K13" s="2">
        <v>5</v>
      </c>
      <c r="L13" s="1" t="s">
        <v>13</v>
      </c>
      <c r="M13" s="2">
        <v>3600</v>
      </c>
      <c r="N13" s="2">
        <v>750</v>
      </c>
      <c r="O13" s="2" t="str">
        <f t="shared" si="0"/>
        <v>More than 5 times per week</v>
      </c>
    </row>
    <row r="14" spans="1:15" x14ac:dyDescent="0.2">
      <c r="A14" s="2">
        <v>13</v>
      </c>
      <c r="B14" s="1" t="s">
        <v>8</v>
      </c>
      <c r="C14" s="1" t="s">
        <v>9</v>
      </c>
      <c r="D14" s="2">
        <v>47</v>
      </c>
      <c r="E14" s="1" t="s">
        <v>16</v>
      </c>
      <c r="F14" s="2">
        <v>9000</v>
      </c>
      <c r="G14" s="1" t="s">
        <v>28</v>
      </c>
      <c r="H14" s="1" t="s">
        <v>24</v>
      </c>
      <c r="I14" s="1" t="s">
        <v>13</v>
      </c>
      <c r="J14" s="2">
        <v>4</v>
      </c>
      <c r="K14" s="2">
        <v>4</v>
      </c>
      <c r="L14" s="1" t="s">
        <v>20</v>
      </c>
      <c r="M14" s="2">
        <v>4100</v>
      </c>
      <c r="N14" s="2">
        <v>650</v>
      </c>
      <c r="O14" s="2" t="str">
        <f t="shared" si="0"/>
        <v>Less than 5 times per week</v>
      </c>
    </row>
    <row r="15" spans="1:15" x14ac:dyDescent="0.2">
      <c r="A15" s="2">
        <v>14</v>
      </c>
      <c r="B15" s="1" t="s">
        <v>18</v>
      </c>
      <c r="C15" s="1" t="s">
        <v>15</v>
      </c>
      <c r="D15" s="2">
        <v>33</v>
      </c>
      <c r="E15" s="1" t="s">
        <v>19</v>
      </c>
      <c r="F15" s="2">
        <v>8000</v>
      </c>
      <c r="G15" s="1" t="s">
        <v>11</v>
      </c>
      <c r="H15" s="1" t="s">
        <v>29</v>
      </c>
      <c r="I15" s="1" t="s">
        <v>20</v>
      </c>
      <c r="J15" s="2">
        <v>5</v>
      </c>
      <c r="K15" s="2">
        <v>6</v>
      </c>
      <c r="L15" s="1" t="s">
        <v>20</v>
      </c>
      <c r="M15" s="2">
        <v>2600</v>
      </c>
      <c r="N15" s="2">
        <v>850</v>
      </c>
      <c r="O15" s="2" t="str">
        <f t="shared" si="0"/>
        <v>More than 5 times per week</v>
      </c>
    </row>
    <row r="16" spans="1:15" x14ac:dyDescent="0.2">
      <c r="A16" s="2">
        <v>15</v>
      </c>
      <c r="B16" s="1" t="s">
        <v>14</v>
      </c>
      <c r="C16" s="1" t="s">
        <v>9</v>
      </c>
      <c r="D16" s="2">
        <v>57</v>
      </c>
      <c r="E16" s="1" t="s">
        <v>22</v>
      </c>
      <c r="F16" s="2">
        <v>13000</v>
      </c>
      <c r="G16" s="1" t="s">
        <v>30</v>
      </c>
      <c r="H16" s="1" t="s">
        <v>17</v>
      </c>
      <c r="I16" s="1" t="s">
        <v>13</v>
      </c>
      <c r="J16" s="2">
        <v>2</v>
      </c>
      <c r="K16" s="2">
        <v>5</v>
      </c>
      <c r="L16" s="1" t="s">
        <v>13</v>
      </c>
      <c r="M16" s="2">
        <v>3900</v>
      </c>
      <c r="N16" s="2">
        <v>700</v>
      </c>
      <c r="O16" s="2" t="str">
        <f t="shared" si="0"/>
        <v>More than 5 times per week</v>
      </c>
    </row>
    <row r="17" spans="1:15" x14ac:dyDescent="0.2">
      <c r="A17" s="2">
        <v>16</v>
      </c>
      <c r="B17" s="1" t="s">
        <v>18</v>
      </c>
      <c r="C17" s="1" t="s">
        <v>15</v>
      </c>
      <c r="D17" s="2">
        <v>37</v>
      </c>
      <c r="E17" s="1" t="s">
        <v>10</v>
      </c>
      <c r="F17" s="2">
        <v>15000</v>
      </c>
      <c r="G17" s="1" t="s">
        <v>28</v>
      </c>
      <c r="H17" s="1" t="s">
        <v>12</v>
      </c>
      <c r="I17" s="1" t="s">
        <v>13</v>
      </c>
      <c r="J17" s="2">
        <v>3</v>
      </c>
      <c r="K17" s="2">
        <v>6</v>
      </c>
      <c r="L17" s="1" t="s">
        <v>13</v>
      </c>
      <c r="M17" s="2">
        <v>3300</v>
      </c>
      <c r="N17" s="2">
        <v>750</v>
      </c>
      <c r="O17" s="2" t="str">
        <f t="shared" si="0"/>
        <v>More than 5 times per week</v>
      </c>
    </row>
    <row r="18" spans="1:15" x14ac:dyDescent="0.2">
      <c r="A18" s="2">
        <v>17</v>
      </c>
      <c r="B18" s="1" t="s">
        <v>8</v>
      </c>
      <c r="C18" s="1" t="s">
        <v>9</v>
      </c>
      <c r="D18" s="2">
        <v>45</v>
      </c>
      <c r="E18" s="1" t="s">
        <v>16</v>
      </c>
      <c r="F18" s="2">
        <v>14000</v>
      </c>
      <c r="G18" s="1" t="s">
        <v>11</v>
      </c>
      <c r="H18" s="1" t="s">
        <v>21</v>
      </c>
      <c r="I18" s="1" t="s">
        <v>13</v>
      </c>
      <c r="J18" s="2">
        <v>4</v>
      </c>
      <c r="K18" s="2">
        <v>7</v>
      </c>
      <c r="L18" s="1" t="s">
        <v>20</v>
      </c>
      <c r="M18" s="2">
        <v>3700</v>
      </c>
      <c r="N18" s="2">
        <v>700</v>
      </c>
      <c r="O18" s="2" t="str">
        <f t="shared" si="0"/>
        <v>More than 5 times per week</v>
      </c>
    </row>
    <row r="19" spans="1:15" x14ac:dyDescent="0.2">
      <c r="A19" s="2">
        <v>18</v>
      </c>
      <c r="B19" s="1" t="s">
        <v>8</v>
      </c>
      <c r="C19" s="1" t="s">
        <v>15</v>
      </c>
      <c r="D19" s="2">
        <v>31</v>
      </c>
      <c r="E19" s="1" t="s">
        <v>19</v>
      </c>
      <c r="F19" s="2">
        <v>11000</v>
      </c>
      <c r="G19" s="1" t="s">
        <v>30</v>
      </c>
      <c r="H19" s="1" t="s">
        <v>24</v>
      </c>
      <c r="I19" s="1" t="s">
        <v>13</v>
      </c>
      <c r="J19" s="2">
        <v>5</v>
      </c>
      <c r="K19" s="2">
        <v>4</v>
      </c>
      <c r="L19" s="1" t="s">
        <v>20</v>
      </c>
      <c r="M19" s="2">
        <v>4300</v>
      </c>
      <c r="N19" s="2">
        <v>650</v>
      </c>
      <c r="O19" s="2" t="str">
        <f t="shared" si="0"/>
        <v>Less than 5 times per week</v>
      </c>
    </row>
    <row r="20" spans="1:15" x14ac:dyDescent="0.2">
      <c r="A20" s="2">
        <v>19</v>
      </c>
      <c r="B20" s="1" t="s">
        <v>25</v>
      </c>
      <c r="C20" s="1" t="s">
        <v>9</v>
      </c>
      <c r="D20" s="2">
        <v>50</v>
      </c>
      <c r="E20" s="1" t="s">
        <v>22</v>
      </c>
      <c r="F20" s="2">
        <v>12000</v>
      </c>
      <c r="G20" s="1" t="s">
        <v>28</v>
      </c>
      <c r="H20" s="1" t="s">
        <v>29</v>
      </c>
      <c r="I20" s="1" t="s">
        <v>20</v>
      </c>
      <c r="J20" s="2">
        <v>3</v>
      </c>
      <c r="K20" s="2">
        <v>6</v>
      </c>
      <c r="L20" s="1" t="s">
        <v>20</v>
      </c>
      <c r="M20" s="2">
        <v>3000</v>
      </c>
      <c r="N20" s="2">
        <v>800</v>
      </c>
      <c r="O20" s="2" t="str">
        <f t="shared" si="0"/>
        <v>More than 5 times per week</v>
      </c>
    </row>
    <row r="21" spans="1:15" x14ac:dyDescent="0.2">
      <c r="A21" s="2">
        <v>20</v>
      </c>
      <c r="B21" s="1" t="s">
        <v>8</v>
      </c>
      <c r="C21" s="1" t="s">
        <v>15</v>
      </c>
      <c r="D21" s="2">
        <v>29</v>
      </c>
      <c r="E21" s="1" t="s">
        <v>10</v>
      </c>
      <c r="F21" s="2">
        <v>10000</v>
      </c>
      <c r="G21" s="1" t="s">
        <v>11</v>
      </c>
      <c r="H21" s="1" t="s">
        <v>17</v>
      </c>
      <c r="I21" s="1" t="s">
        <v>13</v>
      </c>
      <c r="J21" s="2">
        <v>4</v>
      </c>
      <c r="K21" s="2">
        <v>5</v>
      </c>
      <c r="L21" s="1" t="s">
        <v>13</v>
      </c>
      <c r="M21" s="2">
        <v>3500</v>
      </c>
      <c r="N21" s="2">
        <v>750</v>
      </c>
      <c r="O21" s="2" t="str">
        <f t="shared" si="0"/>
        <v>More than 5 times per week</v>
      </c>
    </row>
    <row r="22" spans="1:15" x14ac:dyDescent="0.2">
      <c r="A22" s="2">
        <v>21</v>
      </c>
      <c r="B22" s="1" t="s">
        <v>14</v>
      </c>
      <c r="C22" s="1" t="s">
        <v>9</v>
      </c>
      <c r="D22" s="2">
        <v>53</v>
      </c>
      <c r="E22" s="1" t="s">
        <v>16</v>
      </c>
      <c r="F22" s="2">
        <v>8000</v>
      </c>
      <c r="G22" s="1" t="s">
        <v>30</v>
      </c>
      <c r="H22" s="1" t="s">
        <v>12</v>
      </c>
      <c r="I22" s="1" t="s">
        <v>13</v>
      </c>
      <c r="J22" s="2">
        <v>2</v>
      </c>
      <c r="K22" s="2">
        <v>7</v>
      </c>
      <c r="L22" s="1" t="s">
        <v>13</v>
      </c>
      <c r="M22" s="2">
        <v>2700</v>
      </c>
      <c r="N22" s="2">
        <v>850</v>
      </c>
      <c r="O22" s="2" t="str">
        <f t="shared" si="0"/>
        <v>More than 5 times per week</v>
      </c>
    </row>
    <row r="23" spans="1:15" x14ac:dyDescent="0.2">
      <c r="A23" s="2">
        <v>22</v>
      </c>
      <c r="B23" s="1" t="s">
        <v>27</v>
      </c>
      <c r="C23" s="1" t="s">
        <v>15</v>
      </c>
      <c r="D23" s="2">
        <v>39</v>
      </c>
      <c r="E23" s="1" t="s">
        <v>19</v>
      </c>
      <c r="F23" s="2">
        <v>9000</v>
      </c>
      <c r="G23" s="1" t="s">
        <v>28</v>
      </c>
      <c r="H23" s="1" t="s">
        <v>24</v>
      </c>
      <c r="I23" s="1" t="s">
        <v>13</v>
      </c>
      <c r="J23" s="2">
        <v>5</v>
      </c>
      <c r="K23" s="2">
        <v>4</v>
      </c>
      <c r="L23" s="1" t="s">
        <v>20</v>
      </c>
      <c r="M23" s="2">
        <v>3200</v>
      </c>
      <c r="N23" s="2">
        <v>800</v>
      </c>
      <c r="O23" s="2" t="str">
        <f t="shared" si="0"/>
        <v>Less than 5 times per week</v>
      </c>
    </row>
    <row r="24" spans="1:15" x14ac:dyDescent="0.2">
      <c r="A24" s="2">
        <v>23</v>
      </c>
      <c r="B24" s="1" t="s">
        <v>8</v>
      </c>
      <c r="C24" s="1" t="s">
        <v>9</v>
      </c>
      <c r="D24" s="2">
        <v>46</v>
      </c>
      <c r="E24" s="1" t="s">
        <v>22</v>
      </c>
      <c r="F24" s="2">
        <v>11000</v>
      </c>
      <c r="G24" s="1" t="s">
        <v>11</v>
      </c>
      <c r="H24" s="1" t="s">
        <v>29</v>
      </c>
      <c r="I24" s="1" t="s">
        <v>20</v>
      </c>
      <c r="J24" s="2">
        <v>3</v>
      </c>
      <c r="K24" s="2">
        <v>5</v>
      </c>
      <c r="L24" s="1" t="s">
        <v>20</v>
      </c>
      <c r="M24" s="2">
        <v>3400</v>
      </c>
      <c r="N24" s="2">
        <v>750</v>
      </c>
      <c r="O24" s="2" t="str">
        <f t="shared" si="0"/>
        <v>More than 5 times per week</v>
      </c>
    </row>
    <row r="25" spans="1:15" x14ac:dyDescent="0.2">
      <c r="A25" s="2">
        <v>24</v>
      </c>
      <c r="B25" s="1" t="s">
        <v>8</v>
      </c>
      <c r="C25" s="1" t="s">
        <v>15</v>
      </c>
      <c r="D25" s="2">
        <v>34</v>
      </c>
      <c r="E25" s="1" t="s">
        <v>10</v>
      </c>
      <c r="F25" s="2">
        <v>13000</v>
      </c>
      <c r="G25" s="1" t="s">
        <v>30</v>
      </c>
      <c r="H25" s="1" t="s">
        <v>21</v>
      </c>
      <c r="I25" s="1" t="s">
        <v>13</v>
      </c>
      <c r="J25" s="2">
        <v>4</v>
      </c>
      <c r="K25" s="2">
        <v>6</v>
      </c>
      <c r="L25" s="1" t="s">
        <v>20</v>
      </c>
      <c r="M25" s="2">
        <v>3700</v>
      </c>
      <c r="N25" s="2">
        <v>700</v>
      </c>
      <c r="O25" s="2" t="str">
        <f t="shared" si="0"/>
        <v>More than 5 times per week</v>
      </c>
    </row>
    <row r="26" spans="1:15" x14ac:dyDescent="0.2">
      <c r="A26" s="2">
        <v>25</v>
      </c>
      <c r="B26" s="1" t="s">
        <v>8</v>
      </c>
      <c r="C26" s="1" t="s">
        <v>9</v>
      </c>
      <c r="D26" s="2">
        <v>56</v>
      </c>
      <c r="E26" s="1" t="s">
        <v>16</v>
      </c>
      <c r="F26" s="2">
        <v>15000</v>
      </c>
      <c r="G26" s="1" t="s">
        <v>28</v>
      </c>
      <c r="H26" s="1" t="s">
        <v>29</v>
      </c>
      <c r="I26" s="1" t="s">
        <v>20</v>
      </c>
      <c r="J26" s="2">
        <v>2</v>
      </c>
      <c r="K26" s="2">
        <v>4</v>
      </c>
      <c r="L26" s="1" t="s">
        <v>13</v>
      </c>
      <c r="M26" s="2">
        <v>2800</v>
      </c>
      <c r="N26" s="2">
        <v>850</v>
      </c>
      <c r="O26" s="2" t="str">
        <f t="shared" si="0"/>
        <v>Less than 5 times per week</v>
      </c>
    </row>
    <row r="27" spans="1:15" x14ac:dyDescent="0.2">
      <c r="A27" s="2">
        <v>26</v>
      </c>
      <c r="B27" s="1" t="s">
        <v>23</v>
      </c>
      <c r="C27" s="1" t="s">
        <v>15</v>
      </c>
      <c r="D27" s="2">
        <v>36</v>
      </c>
      <c r="E27" s="1" t="s">
        <v>19</v>
      </c>
      <c r="F27" s="2">
        <v>14000</v>
      </c>
      <c r="G27" s="1" t="s">
        <v>11</v>
      </c>
      <c r="H27" s="1" t="s">
        <v>17</v>
      </c>
      <c r="I27" s="1" t="s">
        <v>13</v>
      </c>
      <c r="J27" s="2">
        <v>3</v>
      </c>
      <c r="K27" s="2">
        <v>5</v>
      </c>
      <c r="L27" s="1" t="s">
        <v>13</v>
      </c>
      <c r="M27" s="2">
        <v>3300</v>
      </c>
      <c r="N27" s="2">
        <v>800</v>
      </c>
      <c r="O27" s="2" t="str">
        <f t="shared" si="0"/>
        <v>More than 5 times per week</v>
      </c>
    </row>
    <row r="28" spans="1:15" x14ac:dyDescent="0.2">
      <c r="A28" s="2">
        <v>27</v>
      </c>
      <c r="B28" s="1" t="s">
        <v>23</v>
      </c>
      <c r="C28" s="1" t="s">
        <v>9</v>
      </c>
      <c r="D28" s="2">
        <v>32</v>
      </c>
      <c r="E28" s="1" t="s">
        <v>22</v>
      </c>
      <c r="F28" s="2">
        <v>10000</v>
      </c>
      <c r="G28" s="1" t="s">
        <v>30</v>
      </c>
      <c r="H28" s="1" t="s">
        <v>12</v>
      </c>
      <c r="I28" s="1" t="s">
        <v>13</v>
      </c>
      <c r="J28" s="2">
        <v>4</v>
      </c>
      <c r="K28" s="2">
        <v>6</v>
      </c>
      <c r="L28" s="1" t="s">
        <v>13</v>
      </c>
      <c r="M28" s="2">
        <v>3800</v>
      </c>
      <c r="N28" s="2">
        <v>750</v>
      </c>
      <c r="O28" s="2" t="str">
        <f t="shared" si="0"/>
        <v>More than 5 times per week</v>
      </c>
    </row>
    <row r="29" spans="1:15" x14ac:dyDescent="0.2">
      <c r="A29" s="2">
        <v>28</v>
      </c>
      <c r="B29" s="1" t="s">
        <v>14</v>
      </c>
      <c r="C29" s="1" t="s">
        <v>15</v>
      </c>
      <c r="D29" s="2">
        <v>51</v>
      </c>
      <c r="E29" s="1" t="s">
        <v>10</v>
      </c>
      <c r="F29" s="2">
        <v>8000</v>
      </c>
      <c r="G29" s="1" t="s">
        <v>28</v>
      </c>
      <c r="H29" s="1" t="s">
        <v>24</v>
      </c>
      <c r="I29" s="1" t="s">
        <v>13</v>
      </c>
      <c r="J29" s="2">
        <v>5</v>
      </c>
      <c r="K29" s="2">
        <v>7</v>
      </c>
      <c r="L29" s="1" t="s">
        <v>20</v>
      </c>
      <c r="M29" s="2">
        <v>4200</v>
      </c>
      <c r="N29" s="2">
        <v>700</v>
      </c>
      <c r="O29" s="2" t="str">
        <f t="shared" si="0"/>
        <v>More than 5 times per week</v>
      </c>
    </row>
    <row r="30" spans="1:15" x14ac:dyDescent="0.2">
      <c r="A30" s="2">
        <v>29</v>
      </c>
      <c r="B30" s="1" t="s">
        <v>18</v>
      </c>
      <c r="C30" s="1" t="s">
        <v>9</v>
      </c>
      <c r="D30" s="2">
        <v>47</v>
      </c>
      <c r="E30" s="1" t="s">
        <v>16</v>
      </c>
      <c r="F30" s="2">
        <v>9000</v>
      </c>
      <c r="G30" s="1" t="s">
        <v>11</v>
      </c>
      <c r="H30" s="1" t="s">
        <v>29</v>
      </c>
      <c r="I30" s="1" t="s">
        <v>20</v>
      </c>
      <c r="J30" s="2">
        <v>2</v>
      </c>
      <c r="K30" s="2">
        <v>5</v>
      </c>
      <c r="L30" s="1" t="s">
        <v>20</v>
      </c>
      <c r="M30" s="2">
        <v>3100</v>
      </c>
      <c r="N30" s="2">
        <v>850</v>
      </c>
      <c r="O30" s="2" t="str">
        <f t="shared" si="0"/>
        <v>More than 5 times per week</v>
      </c>
    </row>
    <row r="31" spans="1:15" x14ac:dyDescent="0.2">
      <c r="A31" s="2">
        <v>30</v>
      </c>
      <c r="B31" s="1" t="s">
        <v>14</v>
      </c>
      <c r="C31" s="1" t="s">
        <v>15</v>
      </c>
      <c r="D31" s="2">
        <v>31</v>
      </c>
      <c r="E31" s="1" t="s">
        <v>19</v>
      </c>
      <c r="F31" s="2">
        <v>11000</v>
      </c>
      <c r="G31" s="1" t="s">
        <v>30</v>
      </c>
      <c r="H31" s="1" t="s">
        <v>21</v>
      </c>
      <c r="I31" s="1" t="s">
        <v>13</v>
      </c>
      <c r="J31" s="2">
        <v>3</v>
      </c>
      <c r="K31" s="2">
        <v>4</v>
      </c>
      <c r="L31" s="1" t="s">
        <v>20</v>
      </c>
      <c r="M31" s="2">
        <v>3600</v>
      </c>
      <c r="N31" s="2">
        <v>800</v>
      </c>
      <c r="O31" s="2" t="str">
        <f t="shared" si="0"/>
        <v>Less than 5 times per week</v>
      </c>
    </row>
    <row r="32" spans="1:15" x14ac:dyDescent="0.2">
      <c r="A32" s="2">
        <v>31</v>
      </c>
      <c r="B32" s="1" t="s">
        <v>14</v>
      </c>
      <c r="C32" s="1" t="s">
        <v>9</v>
      </c>
      <c r="D32" s="2">
        <v>54</v>
      </c>
      <c r="E32" s="1" t="s">
        <v>22</v>
      </c>
      <c r="F32" s="2">
        <v>12000</v>
      </c>
      <c r="G32" s="1" t="s">
        <v>28</v>
      </c>
      <c r="H32" s="1" t="s">
        <v>29</v>
      </c>
      <c r="I32" s="1" t="s">
        <v>20</v>
      </c>
      <c r="J32" s="2">
        <v>4</v>
      </c>
      <c r="K32" s="2">
        <v>6</v>
      </c>
      <c r="L32" s="1" t="s">
        <v>13</v>
      </c>
      <c r="M32" s="2">
        <v>3100</v>
      </c>
      <c r="N32" s="2">
        <v>750</v>
      </c>
      <c r="O32" s="2" t="str">
        <f t="shared" si="0"/>
        <v>More than 5 times per week</v>
      </c>
    </row>
    <row r="33" spans="1:15" x14ac:dyDescent="0.2">
      <c r="A33" s="2">
        <v>32</v>
      </c>
      <c r="B33" s="1" t="s">
        <v>14</v>
      </c>
      <c r="C33" s="1" t="s">
        <v>15</v>
      </c>
      <c r="D33" s="2">
        <v>38</v>
      </c>
      <c r="E33" s="1" t="s">
        <v>10</v>
      </c>
      <c r="F33" s="2">
        <v>13000</v>
      </c>
      <c r="G33" s="1" t="s">
        <v>11</v>
      </c>
      <c r="H33" s="1" t="s">
        <v>17</v>
      </c>
      <c r="I33" s="1" t="s">
        <v>13</v>
      </c>
      <c r="J33" s="2">
        <v>2</v>
      </c>
      <c r="K33" s="2">
        <v>5</v>
      </c>
      <c r="L33" s="1" t="s">
        <v>13</v>
      </c>
      <c r="M33" s="2">
        <v>3500</v>
      </c>
      <c r="N33" s="2">
        <v>700</v>
      </c>
      <c r="O33" s="2" t="str">
        <f t="shared" si="0"/>
        <v>More than 5 times per week</v>
      </c>
    </row>
    <row r="34" spans="1:15" x14ac:dyDescent="0.2">
      <c r="A34" s="2">
        <v>33</v>
      </c>
      <c r="B34" s="1" t="s">
        <v>14</v>
      </c>
      <c r="C34" s="1" t="s">
        <v>9</v>
      </c>
      <c r="D34" s="2">
        <v>29</v>
      </c>
      <c r="E34" s="1" t="s">
        <v>16</v>
      </c>
      <c r="F34" s="2">
        <v>14000</v>
      </c>
      <c r="G34" s="1" t="s">
        <v>30</v>
      </c>
      <c r="H34" s="1" t="s">
        <v>12</v>
      </c>
      <c r="I34" s="1" t="s">
        <v>13</v>
      </c>
      <c r="J34" s="2">
        <v>3</v>
      </c>
      <c r="K34" s="2">
        <v>7</v>
      </c>
      <c r="L34" s="1" t="s">
        <v>13</v>
      </c>
      <c r="M34" s="2">
        <v>3900</v>
      </c>
      <c r="N34" s="2">
        <v>650</v>
      </c>
      <c r="O34" s="2" t="str">
        <f t="shared" si="0"/>
        <v>More than 5 times per week</v>
      </c>
    </row>
    <row r="35" spans="1:15" x14ac:dyDescent="0.2">
      <c r="A35" s="2">
        <v>34</v>
      </c>
      <c r="B35" s="1" t="s">
        <v>18</v>
      </c>
      <c r="C35" s="1" t="s">
        <v>15</v>
      </c>
      <c r="D35" s="2">
        <v>56</v>
      </c>
      <c r="E35" s="1" t="s">
        <v>19</v>
      </c>
      <c r="F35" s="2">
        <v>15000</v>
      </c>
      <c r="G35" s="1" t="s">
        <v>28</v>
      </c>
      <c r="H35" s="1" t="s">
        <v>24</v>
      </c>
      <c r="I35" s="1" t="s">
        <v>13</v>
      </c>
      <c r="J35" s="2">
        <v>5</v>
      </c>
      <c r="K35" s="2">
        <v>3</v>
      </c>
      <c r="L35" s="1" t="s">
        <v>20</v>
      </c>
      <c r="M35" s="2">
        <v>2000</v>
      </c>
      <c r="N35" s="2">
        <v>650</v>
      </c>
      <c r="O35" s="2" t="str">
        <f t="shared" si="0"/>
        <v>Less than 5 times per week</v>
      </c>
    </row>
    <row r="36" spans="1:15" x14ac:dyDescent="0.2">
      <c r="A36" s="2">
        <v>35</v>
      </c>
      <c r="B36" s="1" t="s">
        <v>26</v>
      </c>
      <c r="C36" s="1" t="s">
        <v>9</v>
      </c>
      <c r="D36" s="2">
        <v>42</v>
      </c>
      <c r="E36" s="1" t="s">
        <v>22</v>
      </c>
      <c r="F36" s="2">
        <v>18000</v>
      </c>
      <c r="G36" s="1" t="s">
        <v>30</v>
      </c>
      <c r="H36" s="1" t="s">
        <v>21</v>
      </c>
      <c r="I36" s="1" t="s">
        <v>13</v>
      </c>
      <c r="J36" s="2">
        <v>3</v>
      </c>
      <c r="K36" s="2">
        <v>6</v>
      </c>
      <c r="L36" s="1" t="s">
        <v>20</v>
      </c>
      <c r="M36" s="2">
        <v>4500</v>
      </c>
      <c r="N36" s="2">
        <v>850</v>
      </c>
      <c r="O36" s="2" t="str">
        <f t="shared" si="0"/>
        <v>More than 5 times per week</v>
      </c>
    </row>
    <row r="37" spans="1:15" x14ac:dyDescent="0.2">
      <c r="A37" s="2">
        <v>36</v>
      </c>
      <c r="B37" s="1" t="s">
        <v>8</v>
      </c>
      <c r="C37" s="1" t="s">
        <v>15</v>
      </c>
      <c r="D37" s="2">
        <v>35</v>
      </c>
      <c r="E37" s="1" t="s">
        <v>19</v>
      </c>
      <c r="F37" s="2">
        <v>10000</v>
      </c>
      <c r="G37" s="1" t="s">
        <v>28</v>
      </c>
      <c r="H37" s="1" t="s">
        <v>17</v>
      </c>
      <c r="I37" s="1" t="s">
        <v>20</v>
      </c>
      <c r="J37" s="2">
        <v>4</v>
      </c>
      <c r="K37" s="2">
        <v>7</v>
      </c>
      <c r="L37" s="1" t="s">
        <v>13</v>
      </c>
      <c r="M37" s="2">
        <v>3200</v>
      </c>
      <c r="N37" s="2">
        <v>750</v>
      </c>
      <c r="O37" s="2" t="str">
        <f t="shared" si="0"/>
        <v>More than 5 times per week</v>
      </c>
    </row>
    <row r="38" spans="1:15" x14ac:dyDescent="0.2">
      <c r="A38" s="2">
        <v>37</v>
      </c>
      <c r="B38" s="1" t="s">
        <v>8</v>
      </c>
      <c r="C38" s="1" t="s">
        <v>9</v>
      </c>
      <c r="D38" s="2">
        <v>50</v>
      </c>
      <c r="E38" s="1" t="s">
        <v>10</v>
      </c>
      <c r="F38" s="2">
        <v>12000</v>
      </c>
      <c r="G38" s="1" t="s">
        <v>11</v>
      </c>
      <c r="H38" s="1" t="s">
        <v>12</v>
      </c>
      <c r="I38" s="1" t="s">
        <v>13</v>
      </c>
      <c r="J38" s="2">
        <v>3</v>
      </c>
      <c r="K38" s="2">
        <v>5</v>
      </c>
      <c r="L38" s="1" t="s">
        <v>13</v>
      </c>
      <c r="M38" s="2">
        <v>3800</v>
      </c>
      <c r="N38" s="2">
        <v>800</v>
      </c>
      <c r="O38" s="2" t="str">
        <f t="shared" si="0"/>
        <v>More than 5 times per week</v>
      </c>
    </row>
    <row r="39" spans="1:15" x14ac:dyDescent="0.2">
      <c r="A39" s="2">
        <v>38</v>
      </c>
      <c r="B39" s="1" t="s">
        <v>14</v>
      </c>
      <c r="C39" s="1" t="s">
        <v>15</v>
      </c>
      <c r="D39" s="2">
        <v>28</v>
      </c>
      <c r="E39" s="1" t="s">
        <v>16</v>
      </c>
      <c r="F39" s="2">
        <v>8000</v>
      </c>
      <c r="G39" s="1" t="s">
        <v>30</v>
      </c>
      <c r="H39" s="1" t="s">
        <v>29</v>
      </c>
      <c r="I39" s="1" t="s">
        <v>13</v>
      </c>
      <c r="J39" s="2">
        <v>5</v>
      </c>
      <c r="K39" s="2">
        <v>4</v>
      </c>
      <c r="L39" s="1" t="s">
        <v>13</v>
      </c>
      <c r="M39" s="2">
        <v>2700</v>
      </c>
      <c r="N39" s="2">
        <v>900</v>
      </c>
      <c r="O39" s="2" t="str">
        <f t="shared" si="0"/>
        <v>Less than 5 times per week</v>
      </c>
    </row>
    <row r="40" spans="1:15" x14ac:dyDescent="0.2">
      <c r="A40" s="2">
        <v>39</v>
      </c>
      <c r="B40" s="1" t="s">
        <v>14</v>
      </c>
      <c r="C40" s="1" t="s">
        <v>9</v>
      </c>
      <c r="D40" s="2">
        <v>55</v>
      </c>
      <c r="E40" s="1" t="s">
        <v>22</v>
      </c>
      <c r="F40" s="2">
        <v>15000</v>
      </c>
      <c r="G40" s="1" t="s">
        <v>28</v>
      </c>
      <c r="H40" s="1" t="s">
        <v>29</v>
      </c>
      <c r="I40" s="1" t="s">
        <v>20</v>
      </c>
      <c r="J40" s="2">
        <v>2</v>
      </c>
      <c r="K40" s="2">
        <v>6</v>
      </c>
      <c r="L40" s="1" t="s">
        <v>20</v>
      </c>
      <c r="M40" s="2">
        <v>4100</v>
      </c>
      <c r="N40" s="2">
        <v>850</v>
      </c>
      <c r="O40" s="2" t="str">
        <f t="shared" si="0"/>
        <v>More than 5 times per week</v>
      </c>
    </row>
    <row r="41" spans="1:15" x14ac:dyDescent="0.2">
      <c r="A41" s="2">
        <v>40</v>
      </c>
      <c r="B41" s="1" t="s">
        <v>18</v>
      </c>
      <c r="C41" s="1" t="s">
        <v>15</v>
      </c>
      <c r="D41" s="2">
        <v>40</v>
      </c>
      <c r="E41" s="1" t="s">
        <v>10</v>
      </c>
      <c r="F41" s="2">
        <v>11000</v>
      </c>
      <c r="G41" s="1" t="s">
        <v>11</v>
      </c>
      <c r="H41" s="1" t="s">
        <v>24</v>
      </c>
      <c r="I41" s="1" t="s">
        <v>13</v>
      </c>
      <c r="J41" s="2">
        <v>4</v>
      </c>
      <c r="K41" s="2">
        <v>5</v>
      </c>
      <c r="L41" s="1" t="s">
        <v>20</v>
      </c>
      <c r="M41" s="2">
        <v>3500</v>
      </c>
      <c r="N41" s="2">
        <v>800</v>
      </c>
      <c r="O41" s="2" t="str">
        <f t="shared" si="0"/>
        <v>More than 5 times per week</v>
      </c>
    </row>
    <row r="42" spans="1:15" x14ac:dyDescent="0.2">
      <c r="A42" s="2">
        <v>41</v>
      </c>
      <c r="B42" s="1" t="s">
        <v>18</v>
      </c>
      <c r="C42" s="1" t="s">
        <v>9</v>
      </c>
      <c r="D42" s="2">
        <v>48</v>
      </c>
      <c r="E42" s="1" t="s">
        <v>19</v>
      </c>
      <c r="F42" s="2">
        <v>14000</v>
      </c>
      <c r="G42" s="1" t="s">
        <v>30</v>
      </c>
      <c r="H42" s="1" t="s">
        <v>17</v>
      </c>
      <c r="I42" s="1" t="s">
        <v>13</v>
      </c>
      <c r="J42" s="2">
        <v>3</v>
      </c>
      <c r="K42" s="2">
        <v>7</v>
      </c>
      <c r="L42" s="1" t="s">
        <v>13</v>
      </c>
      <c r="M42" s="2">
        <v>3900</v>
      </c>
      <c r="N42" s="2">
        <v>900</v>
      </c>
      <c r="O42" s="2" t="str">
        <f t="shared" si="0"/>
        <v>More than 5 times per week</v>
      </c>
    </row>
    <row r="43" spans="1:15" x14ac:dyDescent="0.2">
      <c r="A43" s="2">
        <v>42</v>
      </c>
      <c r="B43" s="1" t="s">
        <v>18</v>
      </c>
      <c r="C43" s="1" t="s">
        <v>15</v>
      </c>
      <c r="D43" s="2">
        <v>33</v>
      </c>
      <c r="E43" s="1" t="s">
        <v>22</v>
      </c>
      <c r="F43" s="2">
        <v>13000</v>
      </c>
      <c r="G43" s="1" t="s">
        <v>28</v>
      </c>
      <c r="H43" s="1" t="s">
        <v>21</v>
      </c>
      <c r="I43" s="1" t="s">
        <v>13</v>
      </c>
      <c r="J43" s="2">
        <v>4</v>
      </c>
      <c r="K43" s="2">
        <v>5</v>
      </c>
      <c r="L43" s="1" t="s">
        <v>20</v>
      </c>
      <c r="M43" s="2">
        <v>3300</v>
      </c>
      <c r="N43" s="2">
        <v>750</v>
      </c>
      <c r="O43" s="2" t="str">
        <f t="shared" si="0"/>
        <v>More than 5 times per week</v>
      </c>
    </row>
    <row r="44" spans="1:15" x14ac:dyDescent="0.2">
      <c r="A44" s="2">
        <v>43</v>
      </c>
      <c r="B44" s="1" t="s">
        <v>8</v>
      </c>
      <c r="C44" s="1" t="s">
        <v>9</v>
      </c>
      <c r="D44" s="2">
        <v>52</v>
      </c>
      <c r="E44" s="1" t="s">
        <v>16</v>
      </c>
      <c r="F44" s="2">
        <v>12000</v>
      </c>
      <c r="G44" s="1" t="s">
        <v>11</v>
      </c>
      <c r="H44" s="1" t="s">
        <v>17</v>
      </c>
      <c r="I44" s="1" t="s">
        <v>13</v>
      </c>
      <c r="J44" s="2">
        <v>3</v>
      </c>
      <c r="K44" s="2">
        <v>6</v>
      </c>
      <c r="L44" s="1" t="s">
        <v>13</v>
      </c>
      <c r="M44" s="2">
        <v>3600</v>
      </c>
      <c r="N44" s="2">
        <v>850</v>
      </c>
      <c r="O44" s="2" t="str">
        <f t="shared" si="0"/>
        <v>More than 5 times per week</v>
      </c>
    </row>
    <row r="45" spans="1:15" x14ac:dyDescent="0.2">
      <c r="A45" s="2">
        <v>44</v>
      </c>
      <c r="B45" s="1" t="s">
        <v>26</v>
      </c>
      <c r="C45" s="1" t="s">
        <v>15</v>
      </c>
      <c r="D45" s="2">
        <v>30</v>
      </c>
      <c r="E45" s="1" t="s">
        <v>10</v>
      </c>
      <c r="F45" s="2">
        <v>9000</v>
      </c>
      <c r="G45" s="1" t="s">
        <v>30</v>
      </c>
      <c r="H45" s="1" t="s">
        <v>12</v>
      </c>
      <c r="I45" s="1" t="s">
        <v>13</v>
      </c>
      <c r="J45" s="2">
        <v>5</v>
      </c>
      <c r="K45" s="2">
        <v>4</v>
      </c>
      <c r="L45" s="1" t="s">
        <v>13</v>
      </c>
      <c r="M45" s="2">
        <v>2800</v>
      </c>
      <c r="N45" s="2">
        <v>900</v>
      </c>
      <c r="O45" s="2" t="str">
        <f t="shared" si="0"/>
        <v>Less than 5 times per week</v>
      </c>
    </row>
    <row r="46" spans="1:15" x14ac:dyDescent="0.2">
      <c r="A46" s="2">
        <v>45</v>
      </c>
      <c r="B46" s="1" t="s">
        <v>8</v>
      </c>
      <c r="C46" s="1" t="s">
        <v>9</v>
      </c>
      <c r="D46" s="2">
        <v>47</v>
      </c>
      <c r="E46" s="1" t="s">
        <v>22</v>
      </c>
      <c r="F46" s="2">
        <v>16000</v>
      </c>
      <c r="G46" s="1" t="s">
        <v>28</v>
      </c>
      <c r="H46" s="1" t="s">
        <v>29</v>
      </c>
      <c r="I46" s="1" t="s">
        <v>20</v>
      </c>
      <c r="J46" s="2">
        <v>2</v>
      </c>
      <c r="K46" s="2">
        <v>7</v>
      </c>
      <c r="L46" s="1" t="s">
        <v>20</v>
      </c>
      <c r="M46" s="2">
        <v>4300</v>
      </c>
      <c r="N46" s="2">
        <v>850</v>
      </c>
      <c r="O46" s="2" t="str">
        <f t="shared" si="0"/>
        <v>More than 5 times per week</v>
      </c>
    </row>
    <row r="47" spans="1:15" x14ac:dyDescent="0.2">
      <c r="A47" s="2">
        <v>46</v>
      </c>
      <c r="B47" s="1" t="s">
        <v>25</v>
      </c>
      <c r="C47" s="1" t="s">
        <v>15</v>
      </c>
      <c r="D47" s="2">
        <v>31</v>
      </c>
      <c r="E47" s="1" t="s">
        <v>19</v>
      </c>
      <c r="F47" s="2">
        <v>10000</v>
      </c>
      <c r="G47" s="1" t="s">
        <v>11</v>
      </c>
      <c r="H47" s="1" t="s">
        <v>24</v>
      </c>
      <c r="I47" s="1" t="s">
        <v>13</v>
      </c>
      <c r="J47" s="2">
        <v>4</v>
      </c>
      <c r="K47" s="2">
        <v>5</v>
      </c>
      <c r="L47" s="1" t="s">
        <v>20</v>
      </c>
      <c r="M47" s="2">
        <v>3400</v>
      </c>
      <c r="N47" s="2">
        <v>800</v>
      </c>
      <c r="O47" s="2" t="str">
        <f t="shared" si="0"/>
        <v>More than 5 times per week</v>
      </c>
    </row>
    <row r="48" spans="1:15" x14ac:dyDescent="0.2">
      <c r="A48" s="2">
        <v>47</v>
      </c>
      <c r="B48" s="1" t="s">
        <v>14</v>
      </c>
      <c r="C48" s="1" t="s">
        <v>9</v>
      </c>
      <c r="D48" s="2">
        <v>57</v>
      </c>
      <c r="E48" s="1" t="s">
        <v>10</v>
      </c>
      <c r="F48" s="2">
        <v>11000</v>
      </c>
      <c r="G48" s="1" t="s">
        <v>30</v>
      </c>
      <c r="H48" s="1" t="s">
        <v>29</v>
      </c>
      <c r="I48" s="1" t="s">
        <v>20</v>
      </c>
      <c r="J48" s="2">
        <v>3</v>
      </c>
      <c r="K48" s="2">
        <v>6</v>
      </c>
      <c r="L48" s="1" t="s">
        <v>13</v>
      </c>
      <c r="M48" s="2">
        <v>3800</v>
      </c>
      <c r="N48" s="2">
        <v>750</v>
      </c>
      <c r="O48" s="2" t="str">
        <f t="shared" si="0"/>
        <v>More than 5 times per week</v>
      </c>
    </row>
    <row r="49" spans="1:15" x14ac:dyDescent="0.2">
      <c r="A49" s="2">
        <v>48</v>
      </c>
      <c r="B49" s="1" t="s">
        <v>8</v>
      </c>
      <c r="C49" s="1" t="s">
        <v>15</v>
      </c>
      <c r="D49" s="2">
        <v>37</v>
      </c>
      <c r="E49" s="1" t="s">
        <v>16</v>
      </c>
      <c r="F49" s="2">
        <v>9000</v>
      </c>
      <c r="G49" s="1" t="s">
        <v>28</v>
      </c>
      <c r="H49" s="1" t="s">
        <v>17</v>
      </c>
      <c r="I49" s="1" t="s">
        <v>13</v>
      </c>
      <c r="J49" s="2">
        <v>5</v>
      </c>
      <c r="K49" s="2">
        <v>4</v>
      </c>
      <c r="L49" s="1" t="s">
        <v>13</v>
      </c>
      <c r="M49" s="2">
        <v>3100</v>
      </c>
      <c r="N49" s="2">
        <v>900</v>
      </c>
      <c r="O49" s="2" t="str">
        <f t="shared" si="0"/>
        <v>Less than 5 times per week</v>
      </c>
    </row>
    <row r="50" spans="1:15" x14ac:dyDescent="0.2">
      <c r="A50" s="2">
        <v>49</v>
      </c>
      <c r="B50" s="1" t="s">
        <v>26</v>
      </c>
      <c r="C50" s="1" t="s">
        <v>9</v>
      </c>
      <c r="D50" s="2">
        <v>45</v>
      </c>
      <c r="E50" s="1" t="s">
        <v>22</v>
      </c>
      <c r="F50" s="2">
        <v>13000</v>
      </c>
      <c r="G50" s="1" t="s">
        <v>11</v>
      </c>
      <c r="H50" s="1" t="s">
        <v>21</v>
      </c>
      <c r="I50" s="1" t="s">
        <v>13</v>
      </c>
      <c r="J50" s="2">
        <v>3</v>
      </c>
      <c r="K50" s="2">
        <v>7</v>
      </c>
      <c r="L50" s="1" t="s">
        <v>20</v>
      </c>
      <c r="M50" s="2">
        <v>4200</v>
      </c>
      <c r="N50" s="2">
        <v>850</v>
      </c>
      <c r="O50" s="2" t="str">
        <f t="shared" si="0"/>
        <v>More than 5 times per week</v>
      </c>
    </row>
    <row r="51" spans="1:15" x14ac:dyDescent="0.2">
      <c r="A51" s="2">
        <v>50</v>
      </c>
      <c r="B51" s="1" t="s">
        <v>8</v>
      </c>
      <c r="C51" s="1" t="s">
        <v>15</v>
      </c>
      <c r="D51" s="2">
        <v>29</v>
      </c>
      <c r="E51" s="1" t="s">
        <v>19</v>
      </c>
      <c r="F51" s="2">
        <v>8000</v>
      </c>
      <c r="G51" s="1" t="s">
        <v>30</v>
      </c>
      <c r="H51" s="1" t="s">
        <v>12</v>
      </c>
      <c r="I51" s="1" t="s">
        <v>13</v>
      </c>
      <c r="J51" s="2">
        <v>4</v>
      </c>
      <c r="K51" s="2">
        <v>5</v>
      </c>
      <c r="L51" s="1" t="s">
        <v>13</v>
      </c>
      <c r="M51" s="2">
        <v>3300</v>
      </c>
      <c r="N51" s="2">
        <v>800</v>
      </c>
      <c r="O51" s="2" t="str">
        <f t="shared" si="0"/>
        <v>More than 5 times per week</v>
      </c>
    </row>
    <row r="52" spans="1:15" x14ac:dyDescent="0.2">
      <c r="A52" s="2">
        <v>51</v>
      </c>
      <c r="B52" s="1" t="s">
        <v>8</v>
      </c>
      <c r="C52" s="1" t="s">
        <v>9</v>
      </c>
      <c r="D52" s="2">
        <v>50</v>
      </c>
      <c r="E52" s="1" t="s">
        <v>10</v>
      </c>
      <c r="F52" s="2">
        <v>14000</v>
      </c>
      <c r="G52" s="1" t="s">
        <v>28</v>
      </c>
      <c r="H52" s="1" t="s">
        <v>24</v>
      </c>
      <c r="I52" s="1" t="s">
        <v>13</v>
      </c>
      <c r="J52" s="2">
        <v>2</v>
      </c>
      <c r="K52" s="2">
        <v>6</v>
      </c>
      <c r="L52" s="1" t="s">
        <v>20</v>
      </c>
      <c r="M52" s="2">
        <v>3700</v>
      </c>
      <c r="N52" s="2">
        <v>850</v>
      </c>
      <c r="O52" s="2" t="str">
        <f t="shared" si="0"/>
        <v>More than 5 times per week</v>
      </c>
    </row>
    <row r="53" spans="1:15" x14ac:dyDescent="0.2">
      <c r="A53" s="2">
        <v>52</v>
      </c>
      <c r="B53" s="1" t="s">
        <v>8</v>
      </c>
      <c r="C53" s="1" t="s">
        <v>15</v>
      </c>
      <c r="D53" s="2">
        <v>38</v>
      </c>
      <c r="E53" s="1" t="s">
        <v>22</v>
      </c>
      <c r="F53" s="2">
        <v>12000</v>
      </c>
      <c r="G53" s="1" t="s">
        <v>11</v>
      </c>
      <c r="H53" s="1" t="s">
        <v>29</v>
      </c>
      <c r="I53" s="1" t="s">
        <v>20</v>
      </c>
      <c r="J53" s="2">
        <v>4</v>
      </c>
      <c r="K53" s="2">
        <v>7</v>
      </c>
      <c r="L53" s="1" t="s">
        <v>20</v>
      </c>
      <c r="M53" s="2">
        <v>4000</v>
      </c>
      <c r="N53" s="2">
        <v>800</v>
      </c>
      <c r="O53" s="2" t="str">
        <f t="shared" si="0"/>
        <v>More than 5 times per week</v>
      </c>
    </row>
    <row r="54" spans="1:15" x14ac:dyDescent="0.2">
      <c r="A54" s="2">
        <v>53</v>
      </c>
      <c r="B54" s="1" t="s">
        <v>8</v>
      </c>
      <c r="C54" s="1" t="s">
        <v>9</v>
      </c>
      <c r="D54" s="2">
        <v>53</v>
      </c>
      <c r="E54" s="1" t="s">
        <v>16</v>
      </c>
      <c r="F54" s="2">
        <v>10000</v>
      </c>
      <c r="G54" s="1" t="s">
        <v>30</v>
      </c>
      <c r="H54" s="1" t="s">
        <v>17</v>
      </c>
      <c r="I54" s="1" t="s">
        <v>13</v>
      </c>
      <c r="J54" s="2">
        <v>3</v>
      </c>
      <c r="K54" s="2">
        <v>5</v>
      </c>
      <c r="L54" s="1" t="s">
        <v>13</v>
      </c>
      <c r="M54" s="2">
        <v>3200</v>
      </c>
      <c r="N54" s="2">
        <v>900</v>
      </c>
      <c r="O54" s="2" t="str">
        <f t="shared" si="0"/>
        <v>More than 5 times per week</v>
      </c>
    </row>
    <row r="55" spans="1:15" x14ac:dyDescent="0.2">
      <c r="A55" s="2">
        <v>54</v>
      </c>
      <c r="B55" s="1" t="s">
        <v>8</v>
      </c>
      <c r="C55" s="1" t="s">
        <v>15</v>
      </c>
      <c r="D55" s="2">
        <v>36</v>
      </c>
      <c r="E55" s="1" t="s">
        <v>10</v>
      </c>
      <c r="F55" s="2">
        <v>11000</v>
      </c>
      <c r="G55" s="1" t="s">
        <v>28</v>
      </c>
      <c r="H55" s="1" t="s">
        <v>29</v>
      </c>
      <c r="I55" s="1" t="s">
        <v>13</v>
      </c>
      <c r="J55" s="2">
        <v>5</v>
      </c>
      <c r="K55" s="2">
        <v>4</v>
      </c>
      <c r="L55" s="1" t="s">
        <v>13</v>
      </c>
      <c r="M55" s="2">
        <v>2800</v>
      </c>
      <c r="N55" s="2">
        <v>950</v>
      </c>
      <c r="O55" s="2" t="str">
        <f t="shared" si="0"/>
        <v>Less than 5 times per week</v>
      </c>
    </row>
    <row r="56" spans="1:15" x14ac:dyDescent="0.2">
      <c r="A56" s="2">
        <v>55</v>
      </c>
      <c r="B56" s="1" t="s">
        <v>8</v>
      </c>
      <c r="C56" s="1" t="s">
        <v>9</v>
      </c>
      <c r="D56" s="2">
        <v>46</v>
      </c>
      <c r="E56" s="1" t="s">
        <v>19</v>
      </c>
      <c r="F56" s="2">
        <v>9000</v>
      </c>
      <c r="G56" s="1" t="s">
        <v>11</v>
      </c>
      <c r="H56" s="1" t="s">
        <v>21</v>
      </c>
      <c r="I56" s="1" t="s">
        <v>13</v>
      </c>
      <c r="J56" s="2">
        <v>2</v>
      </c>
      <c r="K56" s="2">
        <v>6</v>
      </c>
      <c r="L56" s="1" t="s">
        <v>20</v>
      </c>
      <c r="M56" s="2">
        <v>3600</v>
      </c>
      <c r="N56" s="2">
        <v>900</v>
      </c>
      <c r="O56" s="2" t="str">
        <f t="shared" si="0"/>
        <v>More than 5 times per week</v>
      </c>
    </row>
    <row r="57" spans="1:15" x14ac:dyDescent="0.2">
      <c r="A57" s="2">
        <v>56</v>
      </c>
      <c r="B57" s="1" t="s">
        <v>26</v>
      </c>
      <c r="C57" s="1" t="s">
        <v>15</v>
      </c>
      <c r="D57" s="2">
        <v>32</v>
      </c>
      <c r="E57" s="1" t="s">
        <v>22</v>
      </c>
      <c r="F57" s="2">
        <v>13000</v>
      </c>
      <c r="G57" s="1" t="s">
        <v>30</v>
      </c>
      <c r="H57" s="1" t="s">
        <v>24</v>
      </c>
      <c r="I57" s="1" t="s">
        <v>13</v>
      </c>
      <c r="J57" s="2">
        <v>4</v>
      </c>
      <c r="K57" s="2">
        <v>5</v>
      </c>
      <c r="L57" s="1" t="s">
        <v>20</v>
      </c>
      <c r="M57" s="2">
        <v>3900</v>
      </c>
      <c r="N57" s="2">
        <v>850</v>
      </c>
      <c r="O57" s="2" t="str">
        <f t="shared" si="0"/>
        <v>More than 5 times per week</v>
      </c>
    </row>
    <row r="58" spans="1:15" x14ac:dyDescent="0.2">
      <c r="A58" s="2">
        <v>57</v>
      </c>
      <c r="B58" s="1" t="s">
        <v>18</v>
      </c>
      <c r="C58" s="1" t="s">
        <v>9</v>
      </c>
      <c r="D58" s="2">
        <v>56</v>
      </c>
      <c r="E58" s="1" t="s">
        <v>16</v>
      </c>
      <c r="F58" s="2">
        <v>15000</v>
      </c>
      <c r="G58" s="1" t="s">
        <v>28</v>
      </c>
      <c r="H58" s="1" t="s">
        <v>29</v>
      </c>
      <c r="I58" s="1" t="s">
        <v>20</v>
      </c>
      <c r="J58" s="2">
        <v>3</v>
      </c>
      <c r="K58" s="2">
        <v>7</v>
      </c>
      <c r="L58" s="1" t="s">
        <v>20</v>
      </c>
      <c r="M58" s="2">
        <v>4300</v>
      </c>
      <c r="N58" s="2">
        <v>800</v>
      </c>
      <c r="O58" s="2" t="str">
        <f t="shared" si="0"/>
        <v>More than 5 times per week</v>
      </c>
    </row>
    <row r="59" spans="1:15" x14ac:dyDescent="0.2">
      <c r="A59" s="2">
        <v>58</v>
      </c>
      <c r="B59" s="1" t="s">
        <v>8</v>
      </c>
      <c r="C59" s="1" t="s">
        <v>15</v>
      </c>
      <c r="D59" s="2">
        <v>39</v>
      </c>
      <c r="E59" s="1" t="s">
        <v>10</v>
      </c>
      <c r="F59" s="2">
        <v>16000</v>
      </c>
      <c r="G59" s="1" t="s">
        <v>11</v>
      </c>
      <c r="H59" s="1" t="s">
        <v>17</v>
      </c>
      <c r="I59" s="1" t="s">
        <v>13</v>
      </c>
      <c r="J59" s="2">
        <v>2</v>
      </c>
      <c r="K59" s="2">
        <v>6</v>
      </c>
      <c r="L59" s="1" t="s">
        <v>13</v>
      </c>
      <c r="M59" s="2">
        <v>3500</v>
      </c>
      <c r="N59" s="2">
        <v>850</v>
      </c>
      <c r="O59" s="2" t="str">
        <f t="shared" si="0"/>
        <v>More than 5 times per week</v>
      </c>
    </row>
    <row r="60" spans="1:15" x14ac:dyDescent="0.2">
      <c r="A60" s="2">
        <v>59</v>
      </c>
      <c r="B60" s="1" t="s">
        <v>27</v>
      </c>
      <c r="C60" s="1" t="s">
        <v>9</v>
      </c>
      <c r="D60" s="2">
        <v>33</v>
      </c>
      <c r="E60" s="1" t="s">
        <v>19</v>
      </c>
      <c r="F60" s="2">
        <v>8000</v>
      </c>
      <c r="G60" s="1" t="s">
        <v>30</v>
      </c>
      <c r="H60" s="1" t="s">
        <v>12</v>
      </c>
      <c r="I60" s="1" t="s">
        <v>13</v>
      </c>
      <c r="J60" s="2">
        <v>5</v>
      </c>
      <c r="K60" s="2">
        <v>4</v>
      </c>
      <c r="L60" s="1" t="s">
        <v>13</v>
      </c>
      <c r="M60" s="2">
        <v>3200</v>
      </c>
      <c r="N60" s="2">
        <v>950</v>
      </c>
      <c r="O60" s="2" t="str">
        <f t="shared" si="0"/>
        <v>Less than 5 times per week</v>
      </c>
    </row>
    <row r="61" spans="1:15" x14ac:dyDescent="0.2">
      <c r="A61" s="2">
        <v>60</v>
      </c>
      <c r="B61" s="1" t="s">
        <v>8</v>
      </c>
      <c r="C61" s="1" t="s">
        <v>15</v>
      </c>
      <c r="D61" s="2">
        <v>51</v>
      </c>
      <c r="E61" s="1" t="s">
        <v>22</v>
      </c>
      <c r="F61" s="2">
        <v>10000</v>
      </c>
      <c r="G61" s="1" t="s">
        <v>28</v>
      </c>
      <c r="H61" s="1" t="s">
        <v>29</v>
      </c>
      <c r="I61" s="1" t="s">
        <v>13</v>
      </c>
      <c r="J61" s="2">
        <v>4</v>
      </c>
      <c r="K61" s="2">
        <v>7</v>
      </c>
      <c r="L61" s="1" t="s">
        <v>13</v>
      </c>
      <c r="M61" s="2">
        <v>4100</v>
      </c>
      <c r="N61" s="2">
        <v>900</v>
      </c>
      <c r="O61" s="2" t="str">
        <f t="shared" si="0"/>
        <v>More than 5 times per week</v>
      </c>
    </row>
    <row r="62" spans="1:15" x14ac:dyDescent="0.2">
      <c r="A62" s="2">
        <v>61</v>
      </c>
      <c r="B62" s="1" t="s">
        <v>14</v>
      </c>
      <c r="C62" s="1" t="s">
        <v>9</v>
      </c>
      <c r="D62" s="2">
        <v>47</v>
      </c>
      <c r="E62" s="1" t="s">
        <v>16</v>
      </c>
      <c r="F62" s="2">
        <v>11000</v>
      </c>
      <c r="G62" s="1" t="s">
        <v>11</v>
      </c>
      <c r="H62" s="1" t="s">
        <v>24</v>
      </c>
      <c r="I62" s="1" t="s">
        <v>13</v>
      </c>
      <c r="J62" s="2">
        <v>3</v>
      </c>
      <c r="K62" s="2">
        <v>5</v>
      </c>
      <c r="L62" s="1" t="s">
        <v>20</v>
      </c>
      <c r="M62" s="2">
        <v>3400</v>
      </c>
      <c r="N62" s="2">
        <v>950</v>
      </c>
      <c r="O62" s="2" t="str">
        <f t="shared" si="0"/>
        <v>More than 5 times per week</v>
      </c>
    </row>
    <row r="63" spans="1:15" x14ac:dyDescent="0.2">
      <c r="A63" s="2">
        <v>62</v>
      </c>
      <c r="B63" s="1" t="s">
        <v>25</v>
      </c>
      <c r="C63" s="1" t="s">
        <v>15</v>
      </c>
      <c r="D63" s="2">
        <v>31</v>
      </c>
      <c r="E63" s="1" t="s">
        <v>10</v>
      </c>
      <c r="F63" s="2">
        <v>12000</v>
      </c>
      <c r="G63" s="1" t="s">
        <v>30</v>
      </c>
      <c r="H63" s="1" t="s">
        <v>29</v>
      </c>
      <c r="I63" s="1" t="s">
        <v>20</v>
      </c>
      <c r="J63" s="2">
        <v>5</v>
      </c>
      <c r="K63" s="2">
        <v>6</v>
      </c>
      <c r="L63" s="1" t="s">
        <v>20</v>
      </c>
      <c r="M63" s="2">
        <v>3800</v>
      </c>
      <c r="N63" s="2">
        <v>850</v>
      </c>
      <c r="O63" s="2" t="str">
        <f t="shared" si="0"/>
        <v>More than 5 times per week</v>
      </c>
    </row>
    <row r="64" spans="1:15" x14ac:dyDescent="0.2">
      <c r="A64" s="2">
        <v>63</v>
      </c>
      <c r="B64" s="1" t="s">
        <v>18</v>
      </c>
      <c r="C64" s="1" t="s">
        <v>9</v>
      </c>
      <c r="D64" s="2">
        <v>54</v>
      </c>
      <c r="E64" s="1" t="s">
        <v>19</v>
      </c>
      <c r="F64" s="2">
        <v>14000</v>
      </c>
      <c r="G64" s="1" t="s">
        <v>28</v>
      </c>
      <c r="H64" s="1" t="s">
        <v>21</v>
      </c>
      <c r="I64" s="1" t="s">
        <v>13</v>
      </c>
      <c r="J64" s="2">
        <v>2</v>
      </c>
      <c r="K64" s="2">
        <v>5</v>
      </c>
      <c r="L64" s="1" t="s">
        <v>20</v>
      </c>
      <c r="M64" s="2">
        <v>3100</v>
      </c>
      <c r="N64" s="2">
        <v>900</v>
      </c>
      <c r="O64" s="2" t="str">
        <f t="shared" si="0"/>
        <v>More than 5 times per week</v>
      </c>
    </row>
    <row r="65" spans="1:15" x14ac:dyDescent="0.2">
      <c r="A65" s="2">
        <v>64</v>
      </c>
      <c r="B65" s="1" t="s">
        <v>8</v>
      </c>
      <c r="C65" s="1" t="s">
        <v>15</v>
      </c>
      <c r="D65" s="2">
        <v>40</v>
      </c>
      <c r="E65" s="1" t="s">
        <v>22</v>
      </c>
      <c r="F65" s="2">
        <v>15000</v>
      </c>
      <c r="G65" s="1" t="s">
        <v>11</v>
      </c>
      <c r="H65" s="1" t="s">
        <v>17</v>
      </c>
      <c r="I65" s="1" t="s">
        <v>13</v>
      </c>
      <c r="J65" s="2">
        <v>3</v>
      </c>
      <c r="K65" s="2">
        <v>7</v>
      </c>
      <c r="L65" s="1" t="s">
        <v>13</v>
      </c>
      <c r="M65" s="2">
        <v>4500</v>
      </c>
      <c r="N65" s="2">
        <v>850</v>
      </c>
      <c r="O65" s="2" t="str">
        <f t="shared" si="0"/>
        <v>More than 5 times per week</v>
      </c>
    </row>
    <row r="66" spans="1:15" x14ac:dyDescent="0.2">
      <c r="A66" s="2">
        <v>65</v>
      </c>
      <c r="B66" s="1" t="s">
        <v>8</v>
      </c>
      <c r="C66" s="1" t="s">
        <v>9</v>
      </c>
      <c r="D66" s="2">
        <v>29</v>
      </c>
      <c r="E66" s="1" t="s">
        <v>10</v>
      </c>
      <c r="F66" s="2">
        <v>8000</v>
      </c>
      <c r="G66" s="1" t="s">
        <v>30</v>
      </c>
      <c r="H66" s="1" t="s">
        <v>12</v>
      </c>
      <c r="I66" s="1" t="s">
        <v>13</v>
      </c>
      <c r="J66" s="2">
        <v>4</v>
      </c>
      <c r="K66" s="2">
        <v>4</v>
      </c>
      <c r="L66" s="1" t="s">
        <v>13</v>
      </c>
      <c r="M66" s="2">
        <v>2800</v>
      </c>
      <c r="N66" s="2">
        <v>950</v>
      </c>
      <c r="O66" s="2" t="str">
        <f t="shared" si="0"/>
        <v>Less than 5 times per week</v>
      </c>
    </row>
    <row r="67" spans="1:15" x14ac:dyDescent="0.2">
      <c r="A67" s="2">
        <v>66</v>
      </c>
      <c r="B67" s="1" t="s">
        <v>14</v>
      </c>
      <c r="C67" s="1" t="s">
        <v>15</v>
      </c>
      <c r="D67" s="2">
        <v>56</v>
      </c>
      <c r="E67" s="1" t="s">
        <v>16</v>
      </c>
      <c r="F67" s="2">
        <v>9000</v>
      </c>
      <c r="G67" s="1" t="s">
        <v>28</v>
      </c>
      <c r="H67" s="1" t="s">
        <v>24</v>
      </c>
      <c r="I67" s="1" t="s">
        <v>13</v>
      </c>
      <c r="J67" s="2">
        <v>5</v>
      </c>
      <c r="K67" s="2">
        <v>6</v>
      </c>
      <c r="L67" s="1" t="s">
        <v>20</v>
      </c>
      <c r="M67" s="2">
        <v>4200</v>
      </c>
      <c r="N67" s="2">
        <v>900</v>
      </c>
      <c r="O67" s="2" t="str">
        <f t="shared" ref="O67:O103" si="1">IF(K67&gt;=5,"More than 5 times per week", "Less than 5 times per week")</f>
        <v>More than 5 times per week</v>
      </c>
    </row>
    <row r="68" spans="1:15" x14ac:dyDescent="0.2">
      <c r="A68" s="2">
        <v>67</v>
      </c>
      <c r="B68" s="1" t="s">
        <v>25</v>
      </c>
      <c r="C68" s="1" t="s">
        <v>9</v>
      </c>
      <c r="D68" s="2">
        <v>43</v>
      </c>
      <c r="E68" s="1" t="s">
        <v>22</v>
      </c>
      <c r="F68" s="2">
        <v>10000</v>
      </c>
      <c r="G68" s="1" t="s">
        <v>11</v>
      </c>
      <c r="H68" s="1" t="s">
        <v>29</v>
      </c>
      <c r="I68" s="1" t="s">
        <v>20</v>
      </c>
      <c r="J68" s="2">
        <v>3</v>
      </c>
      <c r="K68" s="2">
        <v>5</v>
      </c>
      <c r="L68" s="1" t="s">
        <v>20</v>
      </c>
      <c r="M68" s="2">
        <v>3500</v>
      </c>
      <c r="N68" s="2">
        <v>850</v>
      </c>
      <c r="O68" s="2" t="str">
        <f t="shared" si="1"/>
        <v>More than 5 times per week</v>
      </c>
    </row>
    <row r="69" spans="1:15" x14ac:dyDescent="0.2">
      <c r="A69" s="2">
        <v>68</v>
      </c>
      <c r="B69" s="1" t="s">
        <v>26</v>
      </c>
      <c r="C69" s="1" t="s">
        <v>15</v>
      </c>
      <c r="D69" s="2">
        <v>30</v>
      </c>
      <c r="E69" s="1" t="s">
        <v>19</v>
      </c>
      <c r="F69" s="2">
        <v>11000</v>
      </c>
      <c r="G69" s="1" t="s">
        <v>30</v>
      </c>
      <c r="H69" s="1" t="s">
        <v>21</v>
      </c>
      <c r="I69" s="1" t="s">
        <v>13</v>
      </c>
      <c r="J69" s="2">
        <v>5</v>
      </c>
      <c r="K69" s="2">
        <v>7</v>
      </c>
      <c r="L69" s="1" t="s">
        <v>20</v>
      </c>
      <c r="M69" s="2">
        <v>2000</v>
      </c>
      <c r="N69" s="2">
        <v>900</v>
      </c>
      <c r="O69" s="2" t="str">
        <f t="shared" si="1"/>
        <v>More than 5 times per week</v>
      </c>
    </row>
    <row r="70" spans="1:15" x14ac:dyDescent="0.2">
      <c r="A70" s="2">
        <v>69</v>
      </c>
      <c r="B70" s="1" t="s">
        <v>14</v>
      </c>
      <c r="C70" s="1" t="s">
        <v>9</v>
      </c>
      <c r="D70" s="2">
        <v>42</v>
      </c>
      <c r="E70" s="1" t="s">
        <v>22</v>
      </c>
      <c r="F70" s="2">
        <v>13000</v>
      </c>
      <c r="G70" s="1" t="s">
        <v>30</v>
      </c>
      <c r="H70" s="1" t="s">
        <v>21</v>
      </c>
      <c r="I70" s="1" t="s">
        <v>13</v>
      </c>
      <c r="J70" s="2">
        <v>3</v>
      </c>
      <c r="K70" s="2">
        <v>6</v>
      </c>
      <c r="L70" s="1" t="s">
        <v>20</v>
      </c>
      <c r="M70" s="2">
        <v>3200</v>
      </c>
      <c r="N70" s="2">
        <v>750</v>
      </c>
      <c r="O70" s="2" t="str">
        <f t="shared" si="1"/>
        <v>More than 5 times per week</v>
      </c>
    </row>
    <row r="71" spans="1:15" x14ac:dyDescent="0.2">
      <c r="A71" s="2">
        <v>70</v>
      </c>
      <c r="B71" s="1" t="s">
        <v>14</v>
      </c>
      <c r="C71" s="1" t="s">
        <v>15</v>
      </c>
      <c r="D71" s="2">
        <v>35</v>
      </c>
      <c r="E71" s="1" t="s">
        <v>22</v>
      </c>
      <c r="F71" s="2">
        <v>11000</v>
      </c>
      <c r="G71" s="1" t="s">
        <v>28</v>
      </c>
      <c r="H71" s="1" t="s">
        <v>17</v>
      </c>
      <c r="I71" s="1" t="s">
        <v>13</v>
      </c>
      <c r="J71" s="2">
        <v>4</v>
      </c>
      <c r="K71" s="2">
        <v>5</v>
      </c>
      <c r="L71" s="1" t="s">
        <v>13</v>
      </c>
      <c r="M71" s="2">
        <v>3500</v>
      </c>
      <c r="N71" s="2">
        <v>700</v>
      </c>
      <c r="O71" s="2" t="str">
        <f t="shared" si="1"/>
        <v>More than 5 times per week</v>
      </c>
    </row>
    <row r="72" spans="1:15" x14ac:dyDescent="0.2">
      <c r="A72" s="2">
        <v>71</v>
      </c>
      <c r="B72" s="1" t="s">
        <v>18</v>
      </c>
      <c r="C72" s="1" t="s">
        <v>9</v>
      </c>
      <c r="D72" s="2">
        <v>49</v>
      </c>
      <c r="E72" s="1" t="s">
        <v>10</v>
      </c>
      <c r="F72" s="2">
        <v>12000</v>
      </c>
      <c r="G72" s="1" t="s">
        <v>11</v>
      </c>
      <c r="H72" s="1" t="s">
        <v>12</v>
      </c>
      <c r="I72" s="1" t="s">
        <v>13</v>
      </c>
      <c r="J72" s="2">
        <v>2</v>
      </c>
      <c r="K72" s="2">
        <v>7</v>
      </c>
      <c r="L72" s="1" t="s">
        <v>13</v>
      </c>
      <c r="M72" s="2">
        <v>3800</v>
      </c>
      <c r="N72" s="2">
        <v>650</v>
      </c>
      <c r="O72" s="2" t="str">
        <f t="shared" si="1"/>
        <v>More than 5 times per week</v>
      </c>
    </row>
    <row r="73" spans="1:15" x14ac:dyDescent="0.2">
      <c r="A73" s="2">
        <v>72</v>
      </c>
      <c r="B73" s="1" t="s">
        <v>14</v>
      </c>
      <c r="C73" s="1" t="s">
        <v>15</v>
      </c>
      <c r="D73" s="2">
        <v>27</v>
      </c>
      <c r="E73" s="1" t="s">
        <v>16</v>
      </c>
      <c r="F73" s="2">
        <v>10000</v>
      </c>
      <c r="G73" s="1" t="s">
        <v>30</v>
      </c>
      <c r="H73" s="1" t="s">
        <v>29</v>
      </c>
      <c r="I73" s="1" t="s">
        <v>20</v>
      </c>
      <c r="J73" s="2">
        <v>5</v>
      </c>
      <c r="K73" s="2">
        <v>4</v>
      </c>
      <c r="L73" s="1" t="s">
        <v>13</v>
      </c>
      <c r="M73" s="2">
        <v>2800</v>
      </c>
      <c r="N73" s="2">
        <v>800</v>
      </c>
      <c r="O73" s="2" t="str">
        <f t="shared" si="1"/>
        <v>Less than 5 times per week</v>
      </c>
    </row>
    <row r="74" spans="1:15" x14ac:dyDescent="0.2">
      <c r="A74" s="2">
        <v>73</v>
      </c>
      <c r="B74" s="1" t="s">
        <v>26</v>
      </c>
      <c r="C74" s="1" t="s">
        <v>9</v>
      </c>
      <c r="D74" s="2">
        <v>55</v>
      </c>
      <c r="E74" s="1" t="s">
        <v>19</v>
      </c>
      <c r="F74" s="2">
        <v>14000</v>
      </c>
      <c r="G74" s="1" t="s">
        <v>28</v>
      </c>
      <c r="H74" s="1" t="s">
        <v>21</v>
      </c>
      <c r="I74" s="1" t="s">
        <v>13</v>
      </c>
      <c r="J74" s="2">
        <v>3</v>
      </c>
      <c r="K74" s="2">
        <v>6</v>
      </c>
      <c r="L74" s="1" t="s">
        <v>20</v>
      </c>
      <c r="M74" s="2">
        <v>3300</v>
      </c>
      <c r="N74" s="2">
        <v>750</v>
      </c>
      <c r="O74" s="2" t="str">
        <f t="shared" si="1"/>
        <v>More than 5 times per week</v>
      </c>
    </row>
    <row r="75" spans="1:15" x14ac:dyDescent="0.2">
      <c r="A75" s="2">
        <v>74</v>
      </c>
      <c r="B75" s="1" t="s">
        <v>8</v>
      </c>
      <c r="C75" s="1" t="s">
        <v>15</v>
      </c>
      <c r="D75" s="2">
        <v>41</v>
      </c>
      <c r="E75" s="1" t="s">
        <v>22</v>
      </c>
      <c r="F75" s="2">
        <v>15000</v>
      </c>
      <c r="G75" s="1" t="s">
        <v>11</v>
      </c>
      <c r="H75" s="1" t="s">
        <v>24</v>
      </c>
      <c r="I75" s="1" t="s">
        <v>13</v>
      </c>
      <c r="J75" s="2">
        <v>4</v>
      </c>
      <c r="K75" s="2">
        <v>5</v>
      </c>
      <c r="L75" s="1" t="s">
        <v>20</v>
      </c>
      <c r="M75" s="2">
        <v>3700</v>
      </c>
      <c r="N75" s="2">
        <v>700</v>
      </c>
      <c r="O75" s="2" t="str">
        <f t="shared" si="1"/>
        <v>More than 5 times per week</v>
      </c>
    </row>
    <row r="76" spans="1:15" x14ac:dyDescent="0.2">
      <c r="A76" s="2">
        <v>75</v>
      </c>
      <c r="B76" s="1" t="s">
        <v>26</v>
      </c>
      <c r="C76" s="1" t="s">
        <v>9</v>
      </c>
      <c r="D76" s="2">
        <v>30</v>
      </c>
      <c r="E76" s="1" t="s">
        <v>10</v>
      </c>
      <c r="F76" s="2">
        <v>9000</v>
      </c>
      <c r="G76" s="1" t="s">
        <v>30</v>
      </c>
      <c r="H76" s="1" t="s">
        <v>29</v>
      </c>
      <c r="I76" s="1" t="s">
        <v>20</v>
      </c>
      <c r="J76" s="2">
        <v>5</v>
      </c>
      <c r="K76" s="2">
        <v>7</v>
      </c>
      <c r="L76" s="1" t="s">
        <v>20</v>
      </c>
      <c r="M76" s="2">
        <v>3000</v>
      </c>
      <c r="N76" s="2">
        <v>850</v>
      </c>
      <c r="O76" s="2" t="str">
        <f t="shared" si="1"/>
        <v>More than 5 times per week</v>
      </c>
    </row>
    <row r="77" spans="1:15" x14ac:dyDescent="0.2">
      <c r="A77" s="2">
        <v>76</v>
      </c>
      <c r="B77" s="1" t="s">
        <v>8</v>
      </c>
      <c r="C77" s="1" t="s">
        <v>15</v>
      </c>
      <c r="D77" s="2">
        <v>47</v>
      </c>
      <c r="E77" s="1" t="s">
        <v>16</v>
      </c>
      <c r="F77" s="2">
        <v>8000</v>
      </c>
      <c r="G77" s="1" t="s">
        <v>28</v>
      </c>
      <c r="H77" s="1" t="s">
        <v>17</v>
      </c>
      <c r="I77" s="1" t="s">
        <v>13</v>
      </c>
      <c r="J77" s="2">
        <v>3</v>
      </c>
      <c r="K77" s="2">
        <v>5</v>
      </c>
      <c r="L77" s="1" t="s">
        <v>13</v>
      </c>
      <c r="M77" s="2">
        <v>3500</v>
      </c>
      <c r="N77" s="2">
        <v>750</v>
      </c>
      <c r="O77" s="2" t="str">
        <f t="shared" si="1"/>
        <v>More than 5 times per week</v>
      </c>
    </row>
    <row r="78" spans="1:15" x14ac:dyDescent="0.2">
      <c r="A78" s="2">
        <v>77</v>
      </c>
      <c r="B78" s="1" t="s">
        <v>26</v>
      </c>
      <c r="C78" s="1" t="s">
        <v>9</v>
      </c>
      <c r="D78" s="2">
        <v>39</v>
      </c>
      <c r="E78" s="1" t="s">
        <v>19</v>
      </c>
      <c r="F78" s="2">
        <v>12000</v>
      </c>
      <c r="G78" s="1" t="s">
        <v>11</v>
      </c>
      <c r="H78" s="1" t="s">
        <v>12</v>
      </c>
      <c r="I78" s="1" t="s">
        <v>13</v>
      </c>
      <c r="J78" s="2">
        <v>2</v>
      </c>
      <c r="K78" s="2">
        <v>6</v>
      </c>
      <c r="L78" s="1" t="s">
        <v>13</v>
      </c>
      <c r="M78" s="2">
        <v>3100</v>
      </c>
      <c r="N78" s="2">
        <v>800</v>
      </c>
      <c r="O78" s="2" t="str">
        <f t="shared" si="1"/>
        <v>More than 5 times per week</v>
      </c>
    </row>
    <row r="79" spans="1:15" x14ac:dyDescent="0.2">
      <c r="A79" s="2">
        <v>78</v>
      </c>
      <c r="B79" s="1" t="s">
        <v>18</v>
      </c>
      <c r="C79" s="1" t="s">
        <v>15</v>
      </c>
      <c r="D79" s="2">
        <v>53</v>
      </c>
      <c r="E79" s="1" t="s">
        <v>22</v>
      </c>
      <c r="F79" s="2">
        <v>13000</v>
      </c>
      <c r="G79" s="1" t="s">
        <v>30</v>
      </c>
      <c r="H79" s="1" t="s">
        <v>29</v>
      </c>
      <c r="I79" s="1" t="s">
        <v>20</v>
      </c>
      <c r="J79" s="2">
        <v>4</v>
      </c>
      <c r="K79" s="2">
        <v>5</v>
      </c>
      <c r="L79" s="1" t="s">
        <v>13</v>
      </c>
      <c r="M79" s="2">
        <v>3400</v>
      </c>
      <c r="N79" s="2">
        <v>750</v>
      </c>
      <c r="O79" s="2" t="str">
        <f t="shared" si="1"/>
        <v>More than 5 times per week</v>
      </c>
    </row>
    <row r="80" spans="1:15" x14ac:dyDescent="0.2">
      <c r="A80" s="2">
        <v>79</v>
      </c>
      <c r="B80" s="1" t="s">
        <v>8</v>
      </c>
      <c r="C80" s="1" t="s">
        <v>9</v>
      </c>
      <c r="D80" s="2">
        <v>28</v>
      </c>
      <c r="E80" s="1" t="s">
        <v>10</v>
      </c>
      <c r="F80" s="2">
        <v>11000</v>
      </c>
      <c r="G80" s="1" t="s">
        <v>28</v>
      </c>
      <c r="H80" s="1" t="s">
        <v>21</v>
      </c>
      <c r="I80" s="1" t="s">
        <v>13</v>
      </c>
      <c r="J80" s="2">
        <v>5</v>
      </c>
      <c r="K80" s="2">
        <v>4</v>
      </c>
      <c r="L80" s="1" t="s">
        <v>20</v>
      </c>
      <c r="M80" s="2">
        <v>3800</v>
      </c>
      <c r="N80" s="2">
        <v>700</v>
      </c>
      <c r="O80" s="2" t="str">
        <f t="shared" si="1"/>
        <v>Less than 5 times per week</v>
      </c>
    </row>
    <row r="81" spans="1:15" x14ac:dyDescent="0.2">
      <c r="A81" s="2">
        <v>80</v>
      </c>
      <c r="B81" s="1" t="s">
        <v>18</v>
      </c>
      <c r="C81" s="1" t="s">
        <v>15</v>
      </c>
      <c r="D81" s="2">
        <v>46</v>
      </c>
      <c r="E81" s="1" t="s">
        <v>16</v>
      </c>
      <c r="F81" s="2">
        <v>10000</v>
      </c>
      <c r="G81" s="1" t="s">
        <v>11</v>
      </c>
      <c r="H81" s="1" t="s">
        <v>24</v>
      </c>
      <c r="I81" s="1" t="s">
        <v>13</v>
      </c>
      <c r="J81" s="2">
        <v>3</v>
      </c>
      <c r="K81" s="2">
        <v>7</v>
      </c>
      <c r="L81" s="1" t="s">
        <v>20</v>
      </c>
      <c r="M81" s="2">
        <v>3200</v>
      </c>
      <c r="N81" s="2">
        <v>800</v>
      </c>
      <c r="O81" s="2" t="str">
        <f t="shared" si="1"/>
        <v>More than 5 times per week</v>
      </c>
    </row>
    <row r="82" spans="1:15" x14ac:dyDescent="0.2">
      <c r="A82" s="2">
        <v>81</v>
      </c>
      <c r="B82" s="1" t="s">
        <v>25</v>
      </c>
      <c r="C82" s="1" t="s">
        <v>9</v>
      </c>
      <c r="D82" s="2">
        <v>36</v>
      </c>
      <c r="E82" s="1" t="s">
        <v>22</v>
      </c>
      <c r="F82" s="2">
        <v>14000</v>
      </c>
      <c r="G82" s="1" t="s">
        <v>30</v>
      </c>
      <c r="H82" s="1" t="s">
        <v>29</v>
      </c>
      <c r="I82" s="1" t="s">
        <v>20</v>
      </c>
      <c r="J82" s="2">
        <v>2</v>
      </c>
      <c r="K82" s="2">
        <v>6</v>
      </c>
      <c r="L82" s="1" t="s">
        <v>20</v>
      </c>
      <c r="M82" s="2">
        <v>3700</v>
      </c>
      <c r="N82" s="2">
        <v>750</v>
      </c>
      <c r="O82" s="2" t="str">
        <f t="shared" si="1"/>
        <v>More than 5 times per week</v>
      </c>
    </row>
    <row r="83" spans="1:15" x14ac:dyDescent="0.2">
      <c r="A83" s="2">
        <v>82</v>
      </c>
      <c r="B83" s="1" t="s">
        <v>18</v>
      </c>
      <c r="C83" s="1" t="s">
        <v>15</v>
      </c>
      <c r="D83" s="2">
        <v>50</v>
      </c>
      <c r="E83" s="1" t="s">
        <v>19</v>
      </c>
      <c r="F83" s="2">
        <v>15000</v>
      </c>
      <c r="G83" s="1" t="s">
        <v>28</v>
      </c>
      <c r="H83" s="1" t="s">
        <v>17</v>
      </c>
      <c r="I83" s="1" t="s">
        <v>13</v>
      </c>
      <c r="J83" s="2">
        <v>4</v>
      </c>
      <c r="K83" s="2">
        <v>5</v>
      </c>
      <c r="L83" s="1" t="s">
        <v>13</v>
      </c>
      <c r="M83" s="2">
        <v>3900</v>
      </c>
      <c r="N83" s="2">
        <v>700</v>
      </c>
      <c r="O83" s="2" t="str">
        <f t="shared" si="1"/>
        <v>More than 5 times per week</v>
      </c>
    </row>
    <row r="84" spans="1:15" x14ac:dyDescent="0.2">
      <c r="A84" s="2">
        <v>83</v>
      </c>
      <c r="B84" s="1" t="s">
        <v>18</v>
      </c>
      <c r="C84" s="1" t="s">
        <v>9</v>
      </c>
      <c r="D84" s="2">
        <v>32</v>
      </c>
      <c r="E84" s="1" t="s">
        <v>10</v>
      </c>
      <c r="F84" s="2">
        <v>9000</v>
      </c>
      <c r="G84" s="1" t="s">
        <v>11</v>
      </c>
      <c r="H84" s="1" t="s">
        <v>12</v>
      </c>
      <c r="I84" s="1" t="s">
        <v>13</v>
      </c>
      <c r="J84" s="2">
        <v>3</v>
      </c>
      <c r="K84" s="2">
        <v>7</v>
      </c>
      <c r="L84" s="1" t="s">
        <v>13</v>
      </c>
      <c r="M84" s="2">
        <v>3300</v>
      </c>
      <c r="N84" s="2">
        <v>650</v>
      </c>
      <c r="O84" s="2" t="str">
        <f t="shared" si="1"/>
        <v>More than 5 times per week</v>
      </c>
    </row>
    <row r="85" spans="1:15" x14ac:dyDescent="0.2">
      <c r="A85" s="2">
        <v>84</v>
      </c>
      <c r="B85" s="1" t="s">
        <v>8</v>
      </c>
      <c r="C85" s="1" t="s">
        <v>15</v>
      </c>
      <c r="D85" s="2">
        <v>54</v>
      </c>
      <c r="E85" s="1" t="s">
        <v>16</v>
      </c>
      <c r="F85" s="2">
        <v>12000</v>
      </c>
      <c r="G85" s="1" t="s">
        <v>30</v>
      </c>
      <c r="H85" s="1" t="s">
        <v>29</v>
      </c>
      <c r="I85" s="1" t="s">
        <v>20</v>
      </c>
      <c r="J85" s="2">
        <v>5</v>
      </c>
      <c r="K85" s="2">
        <v>4</v>
      </c>
      <c r="L85" s="1" t="s">
        <v>13</v>
      </c>
      <c r="M85" s="2">
        <v>2900</v>
      </c>
      <c r="N85" s="2">
        <v>850</v>
      </c>
      <c r="O85" s="2" t="str">
        <f t="shared" si="1"/>
        <v>Less than 5 times per week</v>
      </c>
    </row>
    <row r="86" spans="1:15" x14ac:dyDescent="0.2">
      <c r="A86" s="2">
        <v>85</v>
      </c>
      <c r="B86" s="1" t="s">
        <v>14</v>
      </c>
      <c r="C86" s="1" t="s">
        <v>9</v>
      </c>
      <c r="D86" s="2">
        <v>40</v>
      </c>
      <c r="E86" s="1" t="s">
        <v>22</v>
      </c>
      <c r="F86" s="2">
        <v>13000</v>
      </c>
      <c r="G86" s="1" t="s">
        <v>28</v>
      </c>
      <c r="H86" s="1" t="s">
        <v>21</v>
      </c>
      <c r="I86" s="1" t="s">
        <v>13</v>
      </c>
      <c r="J86" s="2">
        <v>2</v>
      </c>
      <c r="K86" s="2">
        <v>6</v>
      </c>
      <c r="L86" s="1" t="s">
        <v>20</v>
      </c>
      <c r="M86" s="2">
        <v>3500</v>
      </c>
      <c r="N86" s="2">
        <v>750</v>
      </c>
      <c r="O86" s="2" t="str">
        <f t="shared" si="1"/>
        <v>More than 5 times per week</v>
      </c>
    </row>
    <row r="87" spans="1:15" x14ac:dyDescent="0.2">
      <c r="A87" s="2">
        <v>86</v>
      </c>
      <c r="B87" s="1" t="s">
        <v>8</v>
      </c>
      <c r="C87" s="1" t="s">
        <v>15</v>
      </c>
      <c r="D87" s="2">
        <v>29</v>
      </c>
      <c r="E87" s="1" t="s">
        <v>10</v>
      </c>
      <c r="F87" s="2">
        <v>11000</v>
      </c>
      <c r="G87" s="1" t="s">
        <v>11</v>
      </c>
      <c r="H87" s="1" t="s">
        <v>24</v>
      </c>
      <c r="I87" s="1" t="s">
        <v>13</v>
      </c>
      <c r="J87" s="2">
        <v>4</v>
      </c>
      <c r="K87" s="2">
        <v>5</v>
      </c>
      <c r="L87" s="1" t="s">
        <v>20</v>
      </c>
      <c r="M87" s="2">
        <v>3800</v>
      </c>
      <c r="N87" s="2">
        <v>700</v>
      </c>
      <c r="O87" s="2" t="str">
        <f t="shared" si="1"/>
        <v>More than 5 times per week</v>
      </c>
    </row>
    <row r="88" spans="1:15" x14ac:dyDescent="0.2">
      <c r="A88" s="2">
        <v>87</v>
      </c>
      <c r="B88" s="1" t="s">
        <v>18</v>
      </c>
      <c r="C88" s="1" t="s">
        <v>9</v>
      </c>
      <c r="D88" s="2">
        <v>45</v>
      </c>
      <c r="E88" s="1" t="s">
        <v>19</v>
      </c>
      <c r="F88" s="2">
        <v>10000</v>
      </c>
      <c r="G88" s="1" t="s">
        <v>30</v>
      </c>
      <c r="H88" s="1" t="s">
        <v>29</v>
      </c>
      <c r="I88" s="1" t="s">
        <v>20</v>
      </c>
      <c r="J88" s="2">
        <v>3</v>
      </c>
      <c r="K88" s="2">
        <v>7</v>
      </c>
      <c r="L88" s="1" t="s">
        <v>20</v>
      </c>
      <c r="M88" s="2">
        <v>3100</v>
      </c>
      <c r="N88" s="2">
        <v>800</v>
      </c>
      <c r="O88" s="2" t="str">
        <f t="shared" si="1"/>
        <v>More than 5 times per week</v>
      </c>
    </row>
    <row r="89" spans="1:15" x14ac:dyDescent="0.2">
      <c r="A89" s="2">
        <v>88</v>
      </c>
      <c r="B89" s="1" t="s">
        <v>14</v>
      </c>
      <c r="C89" s="1" t="s">
        <v>15</v>
      </c>
      <c r="D89" s="2">
        <v>37</v>
      </c>
      <c r="E89" s="1" t="s">
        <v>22</v>
      </c>
      <c r="F89" s="2">
        <v>14000</v>
      </c>
      <c r="G89" s="1" t="s">
        <v>28</v>
      </c>
      <c r="H89" s="1" t="s">
        <v>17</v>
      </c>
      <c r="I89" s="1" t="s">
        <v>13</v>
      </c>
      <c r="J89" s="2">
        <v>5</v>
      </c>
      <c r="K89" s="2">
        <v>4</v>
      </c>
      <c r="L89" s="1" t="s">
        <v>13</v>
      </c>
      <c r="M89" s="2">
        <v>3300</v>
      </c>
      <c r="N89" s="2">
        <v>750</v>
      </c>
      <c r="O89" s="2" t="str">
        <f t="shared" si="1"/>
        <v>Less than 5 times per week</v>
      </c>
    </row>
    <row r="90" spans="1:15" x14ac:dyDescent="0.2">
      <c r="A90" s="2">
        <v>89</v>
      </c>
      <c r="B90" s="1" t="s">
        <v>14</v>
      </c>
      <c r="C90" s="1" t="s">
        <v>9</v>
      </c>
      <c r="D90" s="2">
        <v>51</v>
      </c>
      <c r="E90" s="1" t="s">
        <v>16</v>
      </c>
      <c r="F90" s="2">
        <v>15000</v>
      </c>
      <c r="G90" s="1" t="s">
        <v>11</v>
      </c>
      <c r="H90" s="1" t="s">
        <v>12</v>
      </c>
      <c r="I90" s="1" t="s">
        <v>13</v>
      </c>
      <c r="J90" s="2">
        <v>2</v>
      </c>
      <c r="K90" s="2">
        <v>6</v>
      </c>
      <c r="L90" s="1" t="s">
        <v>13</v>
      </c>
      <c r="M90" s="2">
        <v>3700</v>
      </c>
      <c r="N90" s="2">
        <v>700</v>
      </c>
      <c r="O90" s="2" t="str">
        <f t="shared" si="1"/>
        <v>More than 5 times per week</v>
      </c>
    </row>
    <row r="91" spans="1:15" x14ac:dyDescent="0.2">
      <c r="A91" s="2">
        <v>90</v>
      </c>
      <c r="B91" s="1" t="s">
        <v>14</v>
      </c>
      <c r="C91" s="1" t="s">
        <v>15</v>
      </c>
      <c r="D91" s="2">
        <v>33</v>
      </c>
      <c r="E91" s="1" t="s">
        <v>10</v>
      </c>
      <c r="F91" s="2">
        <v>9000</v>
      </c>
      <c r="G91" s="1" t="s">
        <v>30</v>
      </c>
      <c r="H91" s="1" t="s">
        <v>29</v>
      </c>
      <c r="I91" s="1" t="s">
        <v>20</v>
      </c>
      <c r="J91" s="2">
        <v>4</v>
      </c>
      <c r="K91" s="2">
        <v>5</v>
      </c>
      <c r="L91" s="1" t="s">
        <v>13</v>
      </c>
      <c r="M91" s="2">
        <v>3200</v>
      </c>
      <c r="N91" s="2">
        <v>650</v>
      </c>
      <c r="O91" s="2" t="str">
        <f t="shared" si="1"/>
        <v>More than 5 times per week</v>
      </c>
    </row>
    <row r="92" spans="1:15" x14ac:dyDescent="0.2">
      <c r="A92" s="2">
        <v>91</v>
      </c>
      <c r="B92" s="1" t="s">
        <v>18</v>
      </c>
      <c r="C92" s="1" t="s">
        <v>9</v>
      </c>
      <c r="D92" s="2">
        <v>48</v>
      </c>
      <c r="E92" s="1" t="s">
        <v>19</v>
      </c>
      <c r="F92" s="2">
        <v>12000</v>
      </c>
      <c r="G92" s="1" t="s">
        <v>28</v>
      </c>
      <c r="H92" s="1" t="s">
        <v>21</v>
      </c>
      <c r="I92" s="1" t="s">
        <v>13</v>
      </c>
      <c r="J92" s="2">
        <v>3</v>
      </c>
      <c r="K92" s="2">
        <v>7</v>
      </c>
      <c r="L92" s="1" t="s">
        <v>20</v>
      </c>
      <c r="M92" s="2">
        <v>3600</v>
      </c>
      <c r="N92" s="2">
        <v>850</v>
      </c>
      <c r="O92" s="2" t="str">
        <f t="shared" si="1"/>
        <v>More than 5 times per week</v>
      </c>
    </row>
    <row r="93" spans="1:15" x14ac:dyDescent="0.2">
      <c r="A93" s="2">
        <v>92</v>
      </c>
      <c r="B93" s="1" t="s">
        <v>8</v>
      </c>
      <c r="C93" s="1" t="s">
        <v>15</v>
      </c>
      <c r="D93" s="2">
        <v>31</v>
      </c>
      <c r="E93" s="1" t="s">
        <v>22</v>
      </c>
      <c r="F93" s="2">
        <v>13000</v>
      </c>
      <c r="G93" s="1" t="s">
        <v>11</v>
      </c>
      <c r="H93" s="1" t="s">
        <v>24</v>
      </c>
      <c r="I93" s="1" t="s">
        <v>13</v>
      </c>
      <c r="J93" s="2">
        <v>4</v>
      </c>
      <c r="K93" s="2">
        <v>5</v>
      </c>
      <c r="L93" s="1" t="s">
        <v>20</v>
      </c>
      <c r="M93" s="2">
        <v>3900</v>
      </c>
      <c r="N93" s="2">
        <v>800</v>
      </c>
      <c r="O93" s="2" t="str">
        <f t="shared" si="1"/>
        <v>More than 5 times per week</v>
      </c>
    </row>
    <row r="94" spans="1:15" x14ac:dyDescent="0.2">
      <c r="A94" s="2">
        <v>93</v>
      </c>
      <c r="B94" s="1" t="s">
        <v>18</v>
      </c>
      <c r="C94" s="1" t="s">
        <v>9</v>
      </c>
      <c r="D94" s="2">
        <v>56</v>
      </c>
      <c r="E94" s="1" t="s">
        <v>16</v>
      </c>
      <c r="F94" s="2">
        <v>11000</v>
      </c>
      <c r="G94" s="1" t="s">
        <v>30</v>
      </c>
      <c r="H94" s="1" t="s">
        <v>29</v>
      </c>
      <c r="I94" s="1" t="s">
        <v>20</v>
      </c>
      <c r="J94" s="2">
        <v>2</v>
      </c>
      <c r="K94" s="2">
        <v>6</v>
      </c>
      <c r="L94" s="1" t="s">
        <v>20</v>
      </c>
      <c r="M94" s="2">
        <v>3300</v>
      </c>
      <c r="N94" s="2">
        <v>750</v>
      </c>
      <c r="O94" s="2" t="str">
        <f t="shared" si="1"/>
        <v>More than 5 times per week</v>
      </c>
    </row>
    <row r="95" spans="1:15" x14ac:dyDescent="0.2">
      <c r="A95" s="2">
        <v>94</v>
      </c>
      <c r="B95" s="1" t="s">
        <v>18</v>
      </c>
      <c r="C95" s="1" t="s">
        <v>15</v>
      </c>
      <c r="D95" s="2">
        <v>38</v>
      </c>
      <c r="E95" s="1" t="s">
        <v>10</v>
      </c>
      <c r="F95" s="2">
        <v>10000</v>
      </c>
      <c r="G95" s="1" t="s">
        <v>28</v>
      </c>
      <c r="H95" s="1" t="s">
        <v>17</v>
      </c>
      <c r="I95" s="1" t="s">
        <v>13</v>
      </c>
      <c r="J95" s="2">
        <v>5</v>
      </c>
      <c r="K95" s="2">
        <v>4</v>
      </c>
      <c r="L95" s="1" t="s">
        <v>20</v>
      </c>
      <c r="M95" s="2">
        <v>3100</v>
      </c>
      <c r="N95" s="2">
        <v>700</v>
      </c>
      <c r="O95" s="2" t="str">
        <f t="shared" si="1"/>
        <v>Less than 5 times per week</v>
      </c>
    </row>
    <row r="96" spans="1:15" x14ac:dyDescent="0.2">
      <c r="A96" s="2">
        <v>95</v>
      </c>
      <c r="B96" s="1" t="s">
        <v>8</v>
      </c>
      <c r="C96" s="1" t="s">
        <v>9</v>
      </c>
      <c r="D96" s="2">
        <v>44</v>
      </c>
      <c r="E96" s="1" t="s">
        <v>19</v>
      </c>
      <c r="F96" s="2">
        <v>14000</v>
      </c>
      <c r="G96" s="1" t="s">
        <v>11</v>
      </c>
      <c r="H96" s="1" t="s">
        <v>12</v>
      </c>
      <c r="I96" s="1" t="s">
        <v>13</v>
      </c>
      <c r="J96" s="2">
        <v>3</v>
      </c>
      <c r="K96" s="2">
        <v>7</v>
      </c>
      <c r="L96" s="1" t="s">
        <v>13</v>
      </c>
      <c r="M96" s="2">
        <v>3400</v>
      </c>
      <c r="N96" s="2">
        <v>650</v>
      </c>
      <c r="O96" s="2" t="str">
        <f t="shared" si="1"/>
        <v>More than 5 times per week</v>
      </c>
    </row>
    <row r="97" spans="1:15" x14ac:dyDescent="0.2">
      <c r="A97" s="2">
        <v>96</v>
      </c>
      <c r="B97" s="1" t="s">
        <v>8</v>
      </c>
      <c r="C97" s="1" t="s">
        <v>9</v>
      </c>
      <c r="D97" s="2">
        <v>34</v>
      </c>
      <c r="E97" s="1" t="s">
        <v>22</v>
      </c>
      <c r="F97" s="2">
        <v>15000</v>
      </c>
      <c r="G97" s="1" t="s">
        <v>30</v>
      </c>
      <c r="H97" s="1" t="s">
        <v>29</v>
      </c>
      <c r="I97" s="1" t="s">
        <v>20</v>
      </c>
      <c r="J97" s="2">
        <v>4</v>
      </c>
      <c r="K97" s="2">
        <v>5</v>
      </c>
      <c r="L97" s="1" t="s">
        <v>13</v>
      </c>
      <c r="M97" s="2">
        <v>2800</v>
      </c>
      <c r="N97" s="2">
        <v>850</v>
      </c>
      <c r="O97" s="2" t="str">
        <f t="shared" si="1"/>
        <v>More than 5 times per week</v>
      </c>
    </row>
    <row r="98" spans="1:15" x14ac:dyDescent="0.2">
      <c r="A98" s="2">
        <v>97</v>
      </c>
      <c r="B98" s="1" t="s">
        <v>8</v>
      </c>
      <c r="C98" s="1" t="s">
        <v>9</v>
      </c>
      <c r="D98" s="2">
        <v>52</v>
      </c>
      <c r="E98" s="1" t="s">
        <v>16</v>
      </c>
      <c r="F98" s="2">
        <v>9000</v>
      </c>
      <c r="G98" s="1" t="s">
        <v>28</v>
      </c>
      <c r="H98" s="1" t="s">
        <v>21</v>
      </c>
      <c r="I98" s="1" t="s">
        <v>13</v>
      </c>
      <c r="J98" s="2">
        <v>3</v>
      </c>
      <c r="K98" s="2">
        <v>6</v>
      </c>
      <c r="L98" s="1" t="s">
        <v>20</v>
      </c>
      <c r="M98" s="2">
        <v>3200</v>
      </c>
      <c r="N98" s="2">
        <v>800</v>
      </c>
      <c r="O98" s="2" t="str">
        <f t="shared" si="1"/>
        <v>More than 5 times per week</v>
      </c>
    </row>
    <row r="99" spans="1:15" x14ac:dyDescent="0.2">
      <c r="A99" s="2">
        <v>98</v>
      </c>
      <c r="B99" s="1" t="s">
        <v>18</v>
      </c>
      <c r="C99" s="1" t="s">
        <v>9</v>
      </c>
      <c r="D99" s="2">
        <v>30</v>
      </c>
      <c r="E99" s="1" t="s">
        <v>10</v>
      </c>
      <c r="F99" s="2">
        <v>12000</v>
      </c>
      <c r="G99" s="1" t="s">
        <v>11</v>
      </c>
      <c r="H99" s="1" t="s">
        <v>24</v>
      </c>
      <c r="I99" s="1" t="s">
        <v>13</v>
      </c>
      <c r="J99" s="2">
        <v>2</v>
      </c>
      <c r="K99" s="2">
        <v>5</v>
      </c>
      <c r="L99" s="1" t="s">
        <v>20</v>
      </c>
      <c r="M99" s="2">
        <v>3600</v>
      </c>
      <c r="N99" s="2">
        <v>750</v>
      </c>
      <c r="O99" s="2" t="str">
        <f t="shared" si="1"/>
        <v>More than 5 times per week</v>
      </c>
    </row>
    <row r="100" spans="1:15" x14ac:dyDescent="0.2">
      <c r="A100" s="2">
        <v>99</v>
      </c>
      <c r="B100" s="1" t="s">
        <v>23</v>
      </c>
      <c r="C100" s="1" t="s">
        <v>9</v>
      </c>
      <c r="D100" s="2">
        <v>49</v>
      </c>
      <c r="E100" s="1" t="s">
        <v>19</v>
      </c>
      <c r="F100" s="2">
        <v>11000</v>
      </c>
      <c r="G100" s="1" t="s">
        <v>30</v>
      </c>
      <c r="H100" s="1" t="s">
        <v>29</v>
      </c>
      <c r="I100" s="1" t="s">
        <v>20</v>
      </c>
      <c r="J100" s="2">
        <v>5</v>
      </c>
      <c r="K100" s="2">
        <v>7</v>
      </c>
      <c r="L100" s="1" t="s">
        <v>13</v>
      </c>
      <c r="M100" s="2">
        <v>3000</v>
      </c>
      <c r="N100" s="2">
        <v>700</v>
      </c>
      <c r="O100" s="2" t="str">
        <f t="shared" si="1"/>
        <v>More than 5 times per week</v>
      </c>
    </row>
    <row r="101" spans="1:15" x14ac:dyDescent="0.2">
      <c r="A101" s="2">
        <v>100</v>
      </c>
      <c r="B101" s="1" t="s">
        <v>26</v>
      </c>
      <c r="C101" s="1" t="s">
        <v>9</v>
      </c>
      <c r="D101" s="2">
        <v>37</v>
      </c>
      <c r="E101" s="1" t="s">
        <v>22</v>
      </c>
      <c r="F101" s="2">
        <v>10000</v>
      </c>
      <c r="G101" s="1" t="s">
        <v>28</v>
      </c>
      <c r="H101" s="1" t="s">
        <v>17</v>
      </c>
      <c r="I101" s="1" t="s">
        <v>13</v>
      </c>
      <c r="J101" s="2">
        <v>4</v>
      </c>
      <c r="K101" s="2">
        <v>6</v>
      </c>
      <c r="L101" s="1" t="s">
        <v>13</v>
      </c>
      <c r="M101" s="2">
        <v>3400</v>
      </c>
      <c r="N101" s="2">
        <v>650</v>
      </c>
      <c r="O101" s="2" t="str">
        <f t="shared" si="1"/>
        <v>More than 5 times per week</v>
      </c>
    </row>
    <row r="102" spans="1:15" x14ac:dyDescent="0.2">
      <c r="A102" s="2">
        <v>101</v>
      </c>
      <c r="B102" s="1" t="s">
        <v>26</v>
      </c>
      <c r="C102" s="1" t="s">
        <v>9</v>
      </c>
      <c r="D102" s="2">
        <v>45</v>
      </c>
      <c r="E102" s="1" t="s">
        <v>16</v>
      </c>
      <c r="F102" s="2">
        <v>14000</v>
      </c>
      <c r="G102" s="1" t="s">
        <v>11</v>
      </c>
      <c r="H102" s="1" t="s">
        <v>12</v>
      </c>
      <c r="I102" s="1" t="s">
        <v>13</v>
      </c>
      <c r="J102" s="2">
        <v>3</v>
      </c>
      <c r="K102" s="2">
        <v>5</v>
      </c>
      <c r="L102" s="1" t="s">
        <v>13</v>
      </c>
      <c r="M102" s="2">
        <v>3700</v>
      </c>
      <c r="N102" s="2">
        <v>850</v>
      </c>
      <c r="O102" s="2" t="str">
        <f t="shared" si="1"/>
        <v>More than 5 times per week</v>
      </c>
    </row>
    <row r="103" spans="1:15" x14ac:dyDescent="0.2">
      <c r="A103" s="2">
        <v>102</v>
      </c>
      <c r="B103" s="1" t="s">
        <v>14</v>
      </c>
      <c r="C103" s="1" t="s">
        <v>9</v>
      </c>
      <c r="D103" s="2">
        <v>31</v>
      </c>
      <c r="E103" s="1" t="s">
        <v>10</v>
      </c>
      <c r="F103" s="2">
        <v>13000</v>
      </c>
      <c r="G103" s="1" t="s">
        <v>30</v>
      </c>
      <c r="H103" s="1" t="s">
        <v>29</v>
      </c>
      <c r="I103" s="1" t="s">
        <v>20</v>
      </c>
      <c r="J103" s="2">
        <v>2</v>
      </c>
      <c r="K103" s="2">
        <v>6</v>
      </c>
      <c r="L103" s="1" t="s">
        <v>20</v>
      </c>
      <c r="M103" s="2">
        <v>3100</v>
      </c>
      <c r="N103" s="2">
        <v>750</v>
      </c>
      <c r="O103" s="2" t="str">
        <f t="shared" si="1"/>
        <v>More than 5 times per week</v>
      </c>
    </row>
  </sheetData>
  <autoFilter ref="A1:O103" xr:uid="{5372740E-23BA-4793-81C7-BC419287D6B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41F7A-D514-4DC5-B5C7-8F153261BB38}">
  <sheetPr>
    <tabColor theme="6" tint="0.39997558519241921"/>
  </sheetPr>
  <dimension ref="A1:L20"/>
  <sheetViews>
    <sheetView zoomScaleNormal="100" workbookViewId="0">
      <selection activeCell="E24" sqref="E24"/>
    </sheetView>
  </sheetViews>
  <sheetFormatPr baseColWidth="10" defaultColWidth="8.6640625" defaultRowHeight="15" x14ac:dyDescent="0.2"/>
  <cols>
    <col min="1" max="1" width="17.33203125" style="4" customWidth="1"/>
    <col min="2" max="4" width="8.6640625" style="4"/>
    <col min="5" max="5" width="12.33203125" style="4" customWidth="1"/>
    <col min="6" max="6" width="8.6640625" style="4"/>
    <col min="7" max="7" width="11.5" style="4" customWidth="1"/>
    <col min="8" max="9" width="8.6640625" style="4"/>
    <col min="10" max="10" width="12.83203125" style="4" bestFit="1" customWidth="1"/>
    <col min="11" max="16384" width="8.6640625" style="4"/>
  </cols>
  <sheetData>
    <row r="1" spans="1:12" x14ac:dyDescent="0.2">
      <c r="B1" s="6" t="s">
        <v>35</v>
      </c>
    </row>
    <row r="2" spans="1:12" x14ac:dyDescent="0.2">
      <c r="A2" s="4" t="s">
        <v>36</v>
      </c>
      <c r="B2" s="7" t="s">
        <v>53</v>
      </c>
    </row>
    <row r="3" spans="1:12" x14ac:dyDescent="0.2">
      <c r="A3" s="4" t="s">
        <v>37</v>
      </c>
      <c r="B3" s="7" t="s">
        <v>54</v>
      </c>
    </row>
    <row r="4" spans="1:12" x14ac:dyDescent="0.2">
      <c r="A4" s="4" t="s">
        <v>38</v>
      </c>
      <c r="B4" s="7" t="s">
        <v>55</v>
      </c>
    </row>
    <row r="5" spans="1:12" x14ac:dyDescent="0.2">
      <c r="A5" s="4" t="s">
        <v>39</v>
      </c>
      <c r="B5" s="4" t="s">
        <v>40</v>
      </c>
    </row>
    <row r="7" spans="1:12" x14ac:dyDescent="0.2">
      <c r="C7" s="5"/>
      <c r="D7" s="5"/>
      <c r="E7" s="8" t="s">
        <v>56</v>
      </c>
      <c r="F7" s="5"/>
      <c r="G7" s="5"/>
      <c r="I7" s="5"/>
      <c r="J7" s="9" t="s">
        <v>57</v>
      </c>
      <c r="K7" s="5"/>
      <c r="L7" s="5"/>
    </row>
    <row r="8" spans="1:12" x14ac:dyDescent="0.2">
      <c r="B8" s="5" t="s">
        <v>36</v>
      </c>
      <c r="C8" s="5" t="s">
        <v>37</v>
      </c>
      <c r="D8" s="5" t="s">
        <v>38</v>
      </c>
      <c r="E8" s="9" t="s">
        <v>58</v>
      </c>
      <c r="G8" s="5" t="s">
        <v>36</v>
      </c>
      <c r="H8" s="5" t="s">
        <v>37</v>
      </c>
      <c r="I8" s="5" t="s">
        <v>38</v>
      </c>
      <c r="J8" s="8" t="s">
        <v>58</v>
      </c>
    </row>
    <row r="9" spans="1:12" x14ac:dyDescent="0.2">
      <c r="A9" s="4" t="s">
        <v>41</v>
      </c>
      <c r="B9" s="4">
        <v>7</v>
      </c>
      <c r="C9" s="4">
        <v>5</v>
      </c>
      <c r="D9" s="4">
        <v>8</v>
      </c>
      <c r="E9" s="10">
        <f t="shared" ref="E9:E20" si="0">AVERAGE(B9:D9)</f>
        <v>6.666666666666667</v>
      </c>
      <c r="G9" s="4">
        <v>6</v>
      </c>
      <c r="H9" s="4">
        <v>8</v>
      </c>
      <c r="I9" s="4">
        <v>9</v>
      </c>
      <c r="J9" s="11">
        <f t="shared" ref="J9:J20" si="1">AVERAGE(G9:I9)</f>
        <v>7.666666666666667</v>
      </c>
    </row>
    <row r="10" spans="1:12" x14ac:dyDescent="0.2">
      <c r="A10" s="4" t="s">
        <v>42</v>
      </c>
      <c r="B10" s="4">
        <v>5</v>
      </c>
      <c r="C10" s="4">
        <v>7</v>
      </c>
      <c r="D10" s="4">
        <v>5</v>
      </c>
      <c r="E10" s="10">
        <f t="shared" si="0"/>
        <v>5.666666666666667</v>
      </c>
      <c r="G10" s="4">
        <v>7</v>
      </c>
      <c r="H10" s="4">
        <v>9</v>
      </c>
      <c r="I10" s="4">
        <v>8</v>
      </c>
      <c r="J10" s="11">
        <f t="shared" si="1"/>
        <v>8</v>
      </c>
    </row>
    <row r="11" spans="1:12" x14ac:dyDescent="0.2">
      <c r="A11" s="4" t="s">
        <v>43</v>
      </c>
      <c r="B11" s="4">
        <v>9</v>
      </c>
      <c r="C11" s="4">
        <v>6</v>
      </c>
      <c r="D11" s="4">
        <v>6</v>
      </c>
      <c r="E11" s="10">
        <f t="shared" si="0"/>
        <v>7</v>
      </c>
      <c r="G11" s="4">
        <v>8</v>
      </c>
      <c r="H11" s="4">
        <v>6</v>
      </c>
      <c r="I11" s="4">
        <v>6</v>
      </c>
      <c r="J11" s="11">
        <f t="shared" si="1"/>
        <v>6.666666666666667</v>
      </c>
    </row>
    <row r="12" spans="1:12" x14ac:dyDescent="0.2">
      <c r="A12" s="4" t="s">
        <v>44</v>
      </c>
      <c r="B12" s="4">
        <v>2</v>
      </c>
      <c r="C12" s="4">
        <v>6</v>
      </c>
      <c r="D12" s="4">
        <v>3</v>
      </c>
      <c r="E12" s="10">
        <f t="shared" si="0"/>
        <v>3.6666666666666665</v>
      </c>
      <c r="G12" s="4">
        <v>9</v>
      </c>
      <c r="H12" s="4">
        <v>8</v>
      </c>
      <c r="I12" s="4">
        <v>7</v>
      </c>
      <c r="J12" s="11">
        <f t="shared" si="1"/>
        <v>8</v>
      </c>
    </row>
    <row r="13" spans="1:12" x14ac:dyDescent="0.2">
      <c r="A13" s="4" t="s">
        <v>45</v>
      </c>
      <c r="B13" s="4">
        <v>6</v>
      </c>
      <c r="C13" s="4">
        <v>5</v>
      </c>
      <c r="D13" s="4">
        <v>9</v>
      </c>
      <c r="E13" s="10">
        <f t="shared" si="0"/>
        <v>6.666666666666667</v>
      </c>
      <c r="G13" s="4">
        <v>8</v>
      </c>
      <c r="H13" s="4">
        <v>7</v>
      </c>
      <c r="I13" s="4">
        <v>5</v>
      </c>
      <c r="J13" s="11">
        <f t="shared" si="1"/>
        <v>6.666666666666667</v>
      </c>
    </row>
    <row r="14" spans="1:12" x14ac:dyDescent="0.2">
      <c r="A14" s="4" t="s">
        <v>46</v>
      </c>
      <c r="B14" s="4">
        <v>3</v>
      </c>
      <c r="C14" s="4">
        <v>9</v>
      </c>
      <c r="D14" s="4">
        <v>2</v>
      </c>
      <c r="E14" s="10">
        <f t="shared" si="0"/>
        <v>4.666666666666667</v>
      </c>
      <c r="G14" s="4">
        <v>10</v>
      </c>
      <c r="H14" s="4">
        <v>9</v>
      </c>
      <c r="I14" s="4">
        <v>1</v>
      </c>
      <c r="J14" s="11">
        <f t="shared" si="1"/>
        <v>6.666666666666667</v>
      </c>
    </row>
    <row r="15" spans="1:12" x14ac:dyDescent="0.2">
      <c r="A15" s="4" t="s">
        <v>47</v>
      </c>
      <c r="B15" s="4">
        <v>8</v>
      </c>
      <c r="C15" s="4">
        <v>1</v>
      </c>
      <c r="D15" s="4">
        <v>5</v>
      </c>
      <c r="E15" s="10">
        <f t="shared" si="0"/>
        <v>4.666666666666667</v>
      </c>
      <c r="G15" s="4">
        <v>2</v>
      </c>
      <c r="H15" s="4">
        <v>8</v>
      </c>
      <c r="I15" s="4">
        <v>7</v>
      </c>
      <c r="J15" s="11">
        <f t="shared" si="1"/>
        <v>5.666666666666667</v>
      </c>
    </row>
    <row r="16" spans="1:12" x14ac:dyDescent="0.2">
      <c r="A16" s="4" t="s">
        <v>48</v>
      </c>
      <c r="B16" s="4">
        <v>1</v>
      </c>
      <c r="C16" s="4">
        <v>8</v>
      </c>
      <c r="D16" s="4">
        <v>10</v>
      </c>
      <c r="E16" s="10">
        <f t="shared" si="0"/>
        <v>6.333333333333333</v>
      </c>
      <c r="G16" s="4">
        <v>8</v>
      </c>
      <c r="H16" s="4">
        <v>10</v>
      </c>
      <c r="I16" s="4">
        <v>8</v>
      </c>
      <c r="J16" s="11">
        <f t="shared" si="1"/>
        <v>8.6666666666666661</v>
      </c>
    </row>
    <row r="17" spans="1:10" x14ac:dyDescent="0.2">
      <c r="A17" s="4" t="s">
        <v>49</v>
      </c>
      <c r="B17" s="4">
        <v>4</v>
      </c>
      <c r="C17" s="4">
        <v>5</v>
      </c>
      <c r="D17" s="4">
        <v>7</v>
      </c>
      <c r="E17" s="10">
        <f t="shared" si="0"/>
        <v>5.333333333333333</v>
      </c>
      <c r="G17" s="4">
        <v>7</v>
      </c>
      <c r="H17" s="4">
        <v>6</v>
      </c>
      <c r="I17" s="4">
        <v>1</v>
      </c>
      <c r="J17" s="11">
        <f t="shared" si="1"/>
        <v>4.666666666666667</v>
      </c>
    </row>
    <row r="18" spans="1:10" x14ac:dyDescent="0.2">
      <c r="A18" s="4" t="s">
        <v>50</v>
      </c>
      <c r="B18" s="4">
        <v>7</v>
      </c>
      <c r="C18" s="4">
        <v>7</v>
      </c>
      <c r="D18" s="4">
        <v>4</v>
      </c>
      <c r="E18" s="10">
        <f t="shared" si="0"/>
        <v>6</v>
      </c>
      <c r="G18" s="4">
        <v>10</v>
      </c>
      <c r="H18" s="4">
        <v>9</v>
      </c>
      <c r="I18" s="4">
        <v>1</v>
      </c>
      <c r="J18" s="11">
        <f t="shared" si="1"/>
        <v>6.666666666666667</v>
      </c>
    </row>
    <row r="19" spans="1:10" x14ac:dyDescent="0.2">
      <c r="A19" s="4" t="s">
        <v>51</v>
      </c>
      <c r="B19" s="4">
        <v>5</v>
      </c>
      <c r="C19" s="4">
        <v>5</v>
      </c>
      <c r="D19" s="4">
        <v>8</v>
      </c>
      <c r="E19" s="10">
        <f t="shared" si="0"/>
        <v>6</v>
      </c>
      <c r="G19" s="4">
        <v>8</v>
      </c>
      <c r="H19" s="4">
        <v>8</v>
      </c>
      <c r="I19" s="4">
        <v>6</v>
      </c>
      <c r="J19" s="11">
        <f t="shared" si="1"/>
        <v>7.333333333333333</v>
      </c>
    </row>
    <row r="20" spans="1:10" x14ac:dyDescent="0.2">
      <c r="A20" s="4" t="s">
        <v>52</v>
      </c>
      <c r="B20" s="4">
        <v>7</v>
      </c>
      <c r="C20" s="4">
        <v>4</v>
      </c>
      <c r="D20" s="4">
        <v>1</v>
      </c>
      <c r="E20" s="10">
        <f t="shared" si="0"/>
        <v>4</v>
      </c>
      <c r="G20" s="4">
        <v>7</v>
      </c>
      <c r="H20" s="4">
        <v>4</v>
      </c>
      <c r="I20" s="4">
        <v>5</v>
      </c>
      <c r="J20" s="11">
        <f t="shared" si="1"/>
        <v>5.333333333333333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86644-8D4C-4423-ADDC-5C0A8FC43F14}">
  <sheetPr filterMode="1">
    <tabColor theme="6" tint="-0.249977111117893"/>
  </sheetPr>
  <dimension ref="A1:O32"/>
  <sheetViews>
    <sheetView zoomScale="131" zoomScaleNormal="104" workbookViewId="0">
      <selection activeCell="F15" sqref="F15:F31"/>
    </sheetView>
  </sheetViews>
  <sheetFormatPr baseColWidth="10" defaultColWidth="8.6640625" defaultRowHeight="15" x14ac:dyDescent="0.2"/>
  <cols>
    <col min="2" max="2" width="22.6640625" bestFit="1" customWidth="1"/>
    <col min="3" max="3" width="7.83203125" bestFit="1" customWidth="1"/>
    <col min="4" max="4" width="3.83203125" bestFit="1" customWidth="1"/>
    <col min="5" max="5" width="20.1640625" bestFit="1" customWidth="1"/>
    <col min="6" max="6" width="10.5" bestFit="1" customWidth="1"/>
    <col min="7" max="7" width="9" bestFit="1" customWidth="1"/>
    <col min="8" max="8" width="11.33203125" bestFit="1" customWidth="1"/>
    <col min="9" max="9" width="10" bestFit="1" customWidth="1"/>
    <col min="10" max="10" width="15.1640625" bestFit="1" customWidth="1"/>
    <col min="11" max="11" width="15.5" bestFit="1" customWidth="1"/>
    <col min="12" max="12" width="16.5" bestFit="1" customWidth="1"/>
    <col min="13" max="13" width="11.83203125" bestFit="1" customWidth="1"/>
    <col min="14" max="14" width="19.33203125" bestFit="1" customWidth="1"/>
  </cols>
  <sheetData>
    <row r="1" spans="1:15" x14ac:dyDescent="0.2">
      <c r="A1" s="3" t="s">
        <v>0</v>
      </c>
      <c r="B1" s="3" t="s">
        <v>1</v>
      </c>
      <c r="C1" s="3" t="s">
        <v>2</v>
      </c>
      <c r="D1" s="3" t="s">
        <v>3</v>
      </c>
      <c r="E1" s="3" t="s">
        <v>4</v>
      </c>
      <c r="F1" s="3" t="s">
        <v>5</v>
      </c>
      <c r="G1" s="3" t="s">
        <v>6</v>
      </c>
      <c r="H1" s="3" t="s">
        <v>60</v>
      </c>
      <c r="I1" s="3" t="s">
        <v>59</v>
      </c>
      <c r="J1" s="3" t="s">
        <v>31</v>
      </c>
      <c r="K1" s="3" t="s">
        <v>32</v>
      </c>
      <c r="L1" s="3" t="s">
        <v>7</v>
      </c>
      <c r="M1" s="3" t="s">
        <v>33</v>
      </c>
      <c r="N1" s="3" t="s">
        <v>34</v>
      </c>
    </row>
    <row r="2" spans="1:15" s="1" customFormat="1" hidden="1" x14ac:dyDescent="0.2">
      <c r="A2" s="2" t="s">
        <v>61</v>
      </c>
      <c r="B2" s="1" t="s">
        <v>18</v>
      </c>
      <c r="C2" s="1" t="s">
        <v>9</v>
      </c>
      <c r="D2" s="2">
        <v>45</v>
      </c>
      <c r="E2" s="1" t="s">
        <v>22</v>
      </c>
      <c r="F2" s="2">
        <v>15000</v>
      </c>
      <c r="G2" s="1" t="s">
        <v>30</v>
      </c>
      <c r="H2" s="1" t="s">
        <v>21</v>
      </c>
      <c r="I2" s="1" t="s">
        <v>20</v>
      </c>
      <c r="J2" s="2">
        <v>3</v>
      </c>
      <c r="K2" s="2">
        <v>7</v>
      </c>
      <c r="L2" s="1" t="s">
        <v>20</v>
      </c>
      <c r="M2" s="2">
        <v>4000</v>
      </c>
      <c r="N2" s="2">
        <v>600</v>
      </c>
      <c r="O2" s="2"/>
    </row>
    <row r="3" spans="1:15" s="1" customFormat="1" hidden="1" x14ac:dyDescent="0.2">
      <c r="A3" s="2" t="s">
        <v>62</v>
      </c>
      <c r="B3" s="1" t="s">
        <v>8</v>
      </c>
      <c r="C3" s="1" t="s">
        <v>9</v>
      </c>
      <c r="D3" s="2">
        <v>50</v>
      </c>
      <c r="E3" s="1" t="s">
        <v>10</v>
      </c>
      <c r="F3" s="2">
        <v>10000</v>
      </c>
      <c r="G3" s="1" t="s">
        <v>11</v>
      </c>
      <c r="H3" s="1" t="s">
        <v>12</v>
      </c>
      <c r="I3" s="1" t="s">
        <v>13</v>
      </c>
      <c r="J3" s="2">
        <v>4</v>
      </c>
      <c r="K3" s="2">
        <v>6</v>
      </c>
      <c r="L3" s="1" t="s">
        <v>13</v>
      </c>
      <c r="M3" s="2">
        <v>3500</v>
      </c>
      <c r="N3" s="2">
        <v>700</v>
      </c>
      <c r="O3" s="2"/>
    </row>
    <row r="4" spans="1:15" s="1" customFormat="1" hidden="1" x14ac:dyDescent="0.2">
      <c r="A4" s="2" t="s">
        <v>63</v>
      </c>
      <c r="B4" s="1" t="s">
        <v>8</v>
      </c>
      <c r="C4" s="1" t="s">
        <v>9</v>
      </c>
      <c r="D4" s="2">
        <v>55</v>
      </c>
      <c r="E4" s="1" t="s">
        <v>19</v>
      </c>
      <c r="F4" s="2">
        <v>10000</v>
      </c>
      <c r="G4" s="1" t="s">
        <v>28</v>
      </c>
      <c r="H4" s="1" t="s">
        <v>21</v>
      </c>
      <c r="I4" s="1" t="s">
        <v>13</v>
      </c>
      <c r="J4" s="2">
        <v>3</v>
      </c>
      <c r="K4" s="2">
        <v>7</v>
      </c>
      <c r="L4" s="1" t="s">
        <v>20</v>
      </c>
      <c r="M4" s="2">
        <v>2800</v>
      </c>
      <c r="N4" s="2">
        <v>800</v>
      </c>
      <c r="O4" s="2"/>
    </row>
    <row r="5" spans="1:15" s="1" customFormat="1" hidden="1" x14ac:dyDescent="0.2">
      <c r="A5" s="2" t="s">
        <v>64</v>
      </c>
      <c r="B5" s="1" t="s">
        <v>8</v>
      </c>
      <c r="C5" s="1" t="s">
        <v>15</v>
      </c>
      <c r="D5" s="2">
        <v>38</v>
      </c>
      <c r="E5" s="1" t="s">
        <v>10</v>
      </c>
      <c r="F5" s="2">
        <v>9000</v>
      </c>
      <c r="G5" s="1" t="s">
        <v>28</v>
      </c>
      <c r="H5" s="1" t="s">
        <v>21</v>
      </c>
      <c r="I5" s="1" t="s">
        <v>20</v>
      </c>
      <c r="J5" s="2">
        <v>3</v>
      </c>
      <c r="K5" s="2">
        <v>6</v>
      </c>
      <c r="L5" s="1" t="s">
        <v>20</v>
      </c>
      <c r="M5" s="2">
        <v>3800</v>
      </c>
      <c r="N5" s="2">
        <v>700</v>
      </c>
      <c r="O5" s="2"/>
    </row>
    <row r="6" spans="1:15" s="1" customFormat="1" hidden="1" x14ac:dyDescent="0.2">
      <c r="A6" s="2" t="s">
        <v>65</v>
      </c>
      <c r="B6" s="1" t="s">
        <v>8</v>
      </c>
      <c r="C6" s="1" t="s">
        <v>9</v>
      </c>
      <c r="D6" s="2">
        <v>42</v>
      </c>
      <c r="E6" s="1" t="s">
        <v>22</v>
      </c>
      <c r="F6" s="2">
        <v>16000</v>
      </c>
      <c r="G6" s="1" t="s">
        <v>30</v>
      </c>
      <c r="H6" s="1" t="s">
        <v>12</v>
      </c>
      <c r="I6" s="1" t="s">
        <v>13</v>
      </c>
      <c r="J6" s="2">
        <v>5</v>
      </c>
      <c r="K6" s="2">
        <v>3</v>
      </c>
      <c r="L6" s="1" t="s">
        <v>13</v>
      </c>
      <c r="M6" s="2">
        <v>3800</v>
      </c>
      <c r="N6" s="2">
        <v>750</v>
      </c>
      <c r="O6" s="2"/>
    </row>
    <row r="7" spans="1:15" s="1" customFormat="1" hidden="1" x14ac:dyDescent="0.2">
      <c r="A7" s="2" t="s">
        <v>66</v>
      </c>
      <c r="B7" s="1" t="s">
        <v>14</v>
      </c>
      <c r="C7" s="1" t="s">
        <v>15</v>
      </c>
      <c r="D7" s="2">
        <v>30</v>
      </c>
      <c r="E7" s="1" t="s">
        <v>19</v>
      </c>
      <c r="F7" s="2">
        <v>15000</v>
      </c>
      <c r="G7" s="1" t="s">
        <v>28</v>
      </c>
      <c r="H7" s="1" t="s">
        <v>21</v>
      </c>
      <c r="I7" s="1" t="s">
        <v>13</v>
      </c>
      <c r="J7" s="2">
        <v>3</v>
      </c>
      <c r="K7" s="2">
        <v>6</v>
      </c>
      <c r="L7" s="1" t="s">
        <v>20</v>
      </c>
      <c r="M7" s="2">
        <v>2900</v>
      </c>
      <c r="N7" s="2">
        <v>800</v>
      </c>
      <c r="O7" s="2"/>
    </row>
    <row r="8" spans="1:15" s="1" customFormat="1" hidden="1" x14ac:dyDescent="0.2">
      <c r="A8" s="2" t="s">
        <v>67</v>
      </c>
      <c r="B8" s="1" t="s">
        <v>18</v>
      </c>
      <c r="C8" s="1" t="s">
        <v>15</v>
      </c>
      <c r="D8" s="2">
        <v>33</v>
      </c>
      <c r="E8" s="1" t="s">
        <v>19</v>
      </c>
      <c r="F8" s="2">
        <v>8000</v>
      </c>
      <c r="G8" s="1" t="s">
        <v>11</v>
      </c>
      <c r="H8" s="1" t="s">
        <v>29</v>
      </c>
      <c r="I8" s="1" t="s">
        <v>20</v>
      </c>
      <c r="J8" s="2">
        <v>5</v>
      </c>
      <c r="K8" s="2">
        <v>6</v>
      </c>
      <c r="L8" s="1" t="s">
        <v>20</v>
      </c>
      <c r="M8" s="2">
        <v>2600</v>
      </c>
      <c r="N8" s="2">
        <v>850</v>
      </c>
      <c r="O8" s="2"/>
    </row>
    <row r="9" spans="1:15" s="1" customFormat="1" hidden="1" x14ac:dyDescent="0.2">
      <c r="A9" s="2" t="s">
        <v>68</v>
      </c>
      <c r="B9" s="1" t="s">
        <v>18</v>
      </c>
      <c r="C9" s="1" t="s">
        <v>15</v>
      </c>
      <c r="D9" s="2">
        <v>37</v>
      </c>
      <c r="E9" s="1" t="s">
        <v>10</v>
      </c>
      <c r="F9" s="2">
        <v>12000</v>
      </c>
      <c r="G9" s="1" t="s">
        <v>28</v>
      </c>
      <c r="H9" s="1" t="s">
        <v>12</v>
      </c>
      <c r="I9" s="1" t="s">
        <v>13</v>
      </c>
      <c r="J9" s="2">
        <v>3</v>
      </c>
      <c r="K9" s="2">
        <v>6</v>
      </c>
      <c r="L9" s="1" t="s">
        <v>13</v>
      </c>
      <c r="M9" s="2">
        <v>3300</v>
      </c>
      <c r="N9" s="2">
        <v>750</v>
      </c>
      <c r="O9" s="2"/>
    </row>
    <row r="10" spans="1:15" s="1" customFormat="1" hidden="1" x14ac:dyDescent="0.2">
      <c r="A10" s="2" t="s">
        <v>69</v>
      </c>
      <c r="B10" s="1" t="s">
        <v>8</v>
      </c>
      <c r="C10" s="1" t="s">
        <v>9</v>
      </c>
      <c r="D10" s="2">
        <v>45</v>
      </c>
      <c r="E10" s="1" t="s">
        <v>16</v>
      </c>
      <c r="F10" s="2">
        <v>14000</v>
      </c>
      <c r="G10" s="1" t="s">
        <v>11</v>
      </c>
      <c r="H10" s="1" t="s">
        <v>21</v>
      </c>
      <c r="I10" s="1" t="s">
        <v>13</v>
      </c>
      <c r="J10" s="2">
        <v>4</v>
      </c>
      <c r="K10" s="2">
        <v>7</v>
      </c>
      <c r="L10" s="1" t="s">
        <v>20</v>
      </c>
      <c r="M10" s="2">
        <v>3700</v>
      </c>
      <c r="N10" s="2">
        <v>700</v>
      </c>
      <c r="O10" s="2"/>
    </row>
    <row r="11" spans="1:15" s="1" customFormat="1" hidden="1" x14ac:dyDescent="0.2">
      <c r="A11" s="2" t="s">
        <v>70</v>
      </c>
      <c r="B11" s="1" t="s">
        <v>25</v>
      </c>
      <c r="C11" s="1" t="s">
        <v>15</v>
      </c>
      <c r="D11" s="2">
        <v>50</v>
      </c>
      <c r="E11" s="1" t="s">
        <v>22</v>
      </c>
      <c r="F11" s="2">
        <v>15000</v>
      </c>
      <c r="G11" s="1" t="s">
        <v>28</v>
      </c>
      <c r="H11" s="1" t="s">
        <v>12</v>
      </c>
      <c r="I11" s="1" t="s">
        <v>20</v>
      </c>
      <c r="J11" s="2">
        <v>3</v>
      </c>
      <c r="K11" s="2">
        <v>6</v>
      </c>
      <c r="L11" s="1" t="s">
        <v>20</v>
      </c>
      <c r="M11" s="2">
        <v>3000</v>
      </c>
      <c r="N11" s="2">
        <v>800</v>
      </c>
      <c r="O11" s="2"/>
    </row>
    <row r="12" spans="1:15" s="1" customFormat="1" hidden="1" x14ac:dyDescent="0.2">
      <c r="A12" s="2" t="s">
        <v>71</v>
      </c>
      <c r="B12" s="1" t="s">
        <v>8</v>
      </c>
      <c r="C12" s="1" t="s">
        <v>15</v>
      </c>
      <c r="D12" s="2">
        <v>29</v>
      </c>
      <c r="E12" s="1" t="s">
        <v>10</v>
      </c>
      <c r="F12" s="2">
        <v>10000</v>
      </c>
      <c r="G12" s="1" t="s">
        <v>11</v>
      </c>
      <c r="H12" s="1" t="s">
        <v>17</v>
      </c>
      <c r="I12" s="1" t="s">
        <v>13</v>
      </c>
      <c r="J12" s="2">
        <v>4</v>
      </c>
      <c r="K12" s="2">
        <v>5</v>
      </c>
      <c r="L12" s="1" t="s">
        <v>13</v>
      </c>
      <c r="M12" s="2">
        <v>3500</v>
      </c>
      <c r="N12" s="2">
        <v>750</v>
      </c>
      <c r="O12" s="2"/>
    </row>
    <row r="13" spans="1:15" s="1" customFormat="1" hidden="1" x14ac:dyDescent="0.2">
      <c r="A13" s="2" t="s">
        <v>72</v>
      </c>
      <c r="B13" s="1" t="s">
        <v>14</v>
      </c>
      <c r="C13" s="1" t="s">
        <v>9</v>
      </c>
      <c r="D13" s="2">
        <v>53</v>
      </c>
      <c r="E13" s="1" t="s">
        <v>16</v>
      </c>
      <c r="F13" s="2">
        <v>10000</v>
      </c>
      <c r="G13" s="1" t="s">
        <v>30</v>
      </c>
      <c r="H13" s="1" t="s">
        <v>12</v>
      </c>
      <c r="I13" s="1" t="s">
        <v>13</v>
      </c>
      <c r="J13" s="2">
        <v>2</v>
      </c>
      <c r="K13" s="2">
        <v>7</v>
      </c>
      <c r="L13" s="1" t="s">
        <v>13</v>
      </c>
      <c r="M13" s="2">
        <v>2700</v>
      </c>
      <c r="N13" s="2">
        <v>850</v>
      </c>
      <c r="O13" s="2"/>
    </row>
    <row r="14" spans="1:15" s="1" customFormat="1" hidden="1" x14ac:dyDescent="0.2">
      <c r="A14" s="2" t="s">
        <v>73</v>
      </c>
      <c r="B14" s="1" t="s">
        <v>8</v>
      </c>
      <c r="C14" s="1" t="s">
        <v>9</v>
      </c>
      <c r="D14" s="2">
        <v>46</v>
      </c>
      <c r="E14" s="1" t="s">
        <v>22</v>
      </c>
      <c r="F14" s="2">
        <v>11000</v>
      </c>
      <c r="G14" s="1" t="s">
        <v>11</v>
      </c>
      <c r="H14" s="1" t="s">
        <v>24</v>
      </c>
      <c r="I14" s="1" t="s">
        <v>20</v>
      </c>
      <c r="J14" s="2">
        <v>3</v>
      </c>
      <c r="K14" s="2">
        <v>5</v>
      </c>
      <c r="L14" s="1" t="s">
        <v>20</v>
      </c>
      <c r="M14" s="2">
        <v>3400</v>
      </c>
      <c r="N14" s="2">
        <v>750</v>
      </c>
      <c r="O14" s="2"/>
    </row>
    <row r="15" spans="1:15" s="1" customFormat="1" x14ac:dyDescent="0.2">
      <c r="A15" s="2" t="s">
        <v>74</v>
      </c>
      <c r="B15" s="1" t="s">
        <v>8</v>
      </c>
      <c r="C15" s="1" t="s">
        <v>15</v>
      </c>
      <c r="D15" s="2">
        <v>34</v>
      </c>
      <c r="E15" s="1" t="s">
        <v>10</v>
      </c>
      <c r="F15" s="2">
        <v>10000</v>
      </c>
      <c r="G15" s="1" t="s">
        <v>30</v>
      </c>
      <c r="H15" s="1" t="s">
        <v>21</v>
      </c>
      <c r="I15" s="1" t="s">
        <v>13</v>
      </c>
      <c r="J15" s="2">
        <v>4</v>
      </c>
      <c r="K15" s="2">
        <v>6</v>
      </c>
      <c r="L15" s="1" t="s">
        <v>20</v>
      </c>
      <c r="M15" s="2">
        <v>3700</v>
      </c>
      <c r="N15" s="2">
        <v>700</v>
      </c>
      <c r="O15" s="2"/>
    </row>
    <row r="16" spans="1:15" s="1" customFormat="1" hidden="1" x14ac:dyDescent="0.2">
      <c r="A16" s="2" t="s">
        <v>75</v>
      </c>
      <c r="B16" s="1" t="s">
        <v>8</v>
      </c>
      <c r="C16" s="1" t="s">
        <v>9</v>
      </c>
      <c r="D16" s="2">
        <v>56</v>
      </c>
      <c r="E16" s="1" t="s">
        <v>16</v>
      </c>
      <c r="F16" s="2">
        <v>10000</v>
      </c>
      <c r="G16" s="1" t="s">
        <v>28</v>
      </c>
      <c r="H16" s="1" t="s">
        <v>29</v>
      </c>
      <c r="I16" s="1" t="s">
        <v>20</v>
      </c>
      <c r="J16" s="2">
        <v>2</v>
      </c>
      <c r="K16" s="2">
        <v>4</v>
      </c>
      <c r="L16" s="1" t="s">
        <v>13</v>
      </c>
      <c r="M16" s="2">
        <v>2800</v>
      </c>
      <c r="N16" s="2">
        <v>850</v>
      </c>
      <c r="O16" s="2"/>
    </row>
    <row r="17" spans="1:15" s="1" customFormat="1" hidden="1" x14ac:dyDescent="0.2">
      <c r="A17" s="2" t="s">
        <v>76</v>
      </c>
      <c r="B17" s="1" t="s">
        <v>23</v>
      </c>
      <c r="C17" s="1" t="s">
        <v>15</v>
      </c>
      <c r="D17" s="2">
        <v>36</v>
      </c>
      <c r="E17" s="1" t="s">
        <v>19</v>
      </c>
      <c r="F17" s="2">
        <v>14000</v>
      </c>
      <c r="G17" s="1" t="s">
        <v>11</v>
      </c>
      <c r="H17" s="1" t="s">
        <v>17</v>
      </c>
      <c r="I17" s="1" t="s">
        <v>13</v>
      </c>
      <c r="J17" s="2">
        <v>3</v>
      </c>
      <c r="K17" s="2">
        <v>5</v>
      </c>
      <c r="L17" s="1" t="s">
        <v>13</v>
      </c>
      <c r="M17" s="2">
        <v>3300</v>
      </c>
      <c r="N17" s="2">
        <v>800</v>
      </c>
      <c r="O17" s="2"/>
    </row>
    <row r="18" spans="1:15" s="1" customFormat="1" hidden="1" x14ac:dyDescent="0.2">
      <c r="A18" s="2" t="s">
        <v>77</v>
      </c>
      <c r="B18" s="1" t="s">
        <v>23</v>
      </c>
      <c r="C18" s="1" t="s">
        <v>9</v>
      </c>
      <c r="D18" s="2">
        <v>32</v>
      </c>
      <c r="E18" s="1" t="s">
        <v>22</v>
      </c>
      <c r="F18" s="2">
        <v>10000</v>
      </c>
      <c r="G18" s="1" t="s">
        <v>30</v>
      </c>
      <c r="H18" s="1" t="s">
        <v>12</v>
      </c>
      <c r="I18" s="1" t="s">
        <v>13</v>
      </c>
      <c r="J18" s="2">
        <v>4</v>
      </c>
      <c r="K18" s="2">
        <v>6</v>
      </c>
      <c r="L18" s="1" t="s">
        <v>13</v>
      </c>
      <c r="M18" s="2">
        <v>3800</v>
      </c>
      <c r="N18" s="2">
        <v>750</v>
      </c>
      <c r="O18" s="2"/>
    </row>
    <row r="19" spans="1:15" s="1" customFormat="1" hidden="1" x14ac:dyDescent="0.2">
      <c r="A19" s="2" t="s">
        <v>78</v>
      </c>
      <c r="B19" s="1" t="s">
        <v>18</v>
      </c>
      <c r="C19" s="1" t="s">
        <v>9</v>
      </c>
      <c r="D19" s="2">
        <v>47</v>
      </c>
      <c r="E19" s="1" t="s">
        <v>16</v>
      </c>
      <c r="F19" s="2">
        <v>9000</v>
      </c>
      <c r="G19" s="1" t="s">
        <v>11</v>
      </c>
      <c r="H19" s="1" t="s">
        <v>29</v>
      </c>
      <c r="I19" s="1" t="s">
        <v>20</v>
      </c>
      <c r="J19" s="2">
        <v>2</v>
      </c>
      <c r="K19" s="2">
        <v>5</v>
      </c>
      <c r="L19" s="1" t="s">
        <v>20</v>
      </c>
      <c r="M19" s="2">
        <v>3100</v>
      </c>
      <c r="N19" s="2">
        <v>850</v>
      </c>
      <c r="O19" s="2"/>
    </row>
    <row r="20" spans="1:15" s="1" customFormat="1" x14ac:dyDescent="0.2">
      <c r="A20" s="2" t="s">
        <v>79</v>
      </c>
      <c r="B20" s="1" t="s">
        <v>14</v>
      </c>
      <c r="C20" s="1" t="s">
        <v>15</v>
      </c>
      <c r="D20" s="2">
        <v>31</v>
      </c>
      <c r="E20" s="1" t="s">
        <v>19</v>
      </c>
      <c r="F20" s="2">
        <v>11000</v>
      </c>
      <c r="G20" s="1" t="s">
        <v>30</v>
      </c>
      <c r="H20" s="1" t="s">
        <v>21</v>
      </c>
      <c r="I20" s="1" t="s">
        <v>13</v>
      </c>
      <c r="J20" s="2">
        <v>3</v>
      </c>
      <c r="K20" s="2">
        <v>4</v>
      </c>
      <c r="L20" s="1" t="s">
        <v>20</v>
      </c>
      <c r="M20" s="2">
        <v>3600</v>
      </c>
      <c r="N20" s="2">
        <v>800</v>
      </c>
      <c r="O20" s="2"/>
    </row>
    <row r="21" spans="1:15" s="1" customFormat="1" hidden="1" x14ac:dyDescent="0.2">
      <c r="A21" s="2" t="s">
        <v>80</v>
      </c>
      <c r="B21" s="1" t="s">
        <v>14</v>
      </c>
      <c r="C21" s="1" t="s">
        <v>9</v>
      </c>
      <c r="D21" s="2">
        <v>54</v>
      </c>
      <c r="E21" s="1" t="s">
        <v>22</v>
      </c>
      <c r="F21" s="2">
        <v>11000</v>
      </c>
      <c r="G21" s="1" t="s">
        <v>28</v>
      </c>
      <c r="H21" s="1" t="s">
        <v>29</v>
      </c>
      <c r="I21" s="1" t="s">
        <v>20</v>
      </c>
      <c r="J21" s="2">
        <v>4</v>
      </c>
      <c r="K21" s="2">
        <v>6</v>
      </c>
      <c r="L21" s="1" t="s">
        <v>13</v>
      </c>
      <c r="M21" s="2">
        <v>3100</v>
      </c>
      <c r="N21" s="2">
        <v>750</v>
      </c>
      <c r="O21" s="2"/>
    </row>
    <row r="22" spans="1:15" s="1" customFormat="1" hidden="1" x14ac:dyDescent="0.2">
      <c r="A22" s="2" t="s">
        <v>81</v>
      </c>
      <c r="B22" s="1" t="s">
        <v>14</v>
      </c>
      <c r="C22" s="1" t="s">
        <v>15</v>
      </c>
      <c r="D22" s="2">
        <v>38</v>
      </c>
      <c r="E22" s="1" t="s">
        <v>10</v>
      </c>
      <c r="F22" s="2">
        <v>13000</v>
      </c>
      <c r="G22" s="1" t="s">
        <v>11</v>
      </c>
      <c r="H22" s="1" t="s">
        <v>17</v>
      </c>
      <c r="I22" s="1" t="s">
        <v>13</v>
      </c>
      <c r="J22" s="2">
        <v>2</v>
      </c>
      <c r="K22" s="2">
        <v>5</v>
      </c>
      <c r="L22" s="1" t="s">
        <v>13</v>
      </c>
      <c r="M22" s="2">
        <v>3500</v>
      </c>
      <c r="N22" s="2">
        <v>700</v>
      </c>
      <c r="O22" s="2"/>
    </row>
    <row r="23" spans="1:15" s="1" customFormat="1" hidden="1" x14ac:dyDescent="0.2">
      <c r="A23" s="2" t="s">
        <v>82</v>
      </c>
      <c r="B23" s="1" t="s">
        <v>14</v>
      </c>
      <c r="C23" s="1" t="s">
        <v>9</v>
      </c>
      <c r="D23" s="2">
        <v>29</v>
      </c>
      <c r="E23" s="1" t="s">
        <v>16</v>
      </c>
      <c r="F23" s="2">
        <v>14000</v>
      </c>
      <c r="G23" s="1" t="s">
        <v>30</v>
      </c>
      <c r="H23" s="1" t="s">
        <v>12</v>
      </c>
      <c r="I23" s="1" t="s">
        <v>13</v>
      </c>
      <c r="J23" s="2">
        <v>3</v>
      </c>
      <c r="K23" s="2">
        <v>7</v>
      </c>
      <c r="L23" s="1" t="s">
        <v>13</v>
      </c>
      <c r="M23" s="2">
        <v>3900</v>
      </c>
      <c r="N23" s="2">
        <v>650</v>
      </c>
      <c r="O23" s="2"/>
    </row>
    <row r="24" spans="1:15" s="1" customFormat="1" hidden="1" x14ac:dyDescent="0.2">
      <c r="A24" s="2" t="s">
        <v>83</v>
      </c>
      <c r="B24" s="1" t="s">
        <v>8</v>
      </c>
      <c r="C24" s="1" t="s">
        <v>15</v>
      </c>
      <c r="D24" s="2">
        <v>50</v>
      </c>
      <c r="E24" s="1" t="s">
        <v>10</v>
      </c>
      <c r="F24" s="2">
        <v>12000</v>
      </c>
      <c r="G24" s="1" t="s">
        <v>11</v>
      </c>
      <c r="H24" s="1" t="s">
        <v>12</v>
      </c>
      <c r="I24" s="1" t="s">
        <v>13</v>
      </c>
      <c r="J24" s="2">
        <v>3</v>
      </c>
      <c r="K24" s="2">
        <v>5</v>
      </c>
      <c r="L24" s="1" t="s">
        <v>13</v>
      </c>
      <c r="M24" s="2">
        <v>3800</v>
      </c>
      <c r="N24" s="2">
        <v>800</v>
      </c>
      <c r="O24" s="2"/>
    </row>
    <row r="25" spans="1:15" s="1" customFormat="1" hidden="1" x14ac:dyDescent="0.2">
      <c r="A25" s="2" t="s">
        <v>84</v>
      </c>
      <c r="B25" s="1" t="s">
        <v>14</v>
      </c>
      <c r="C25" s="1" t="s">
        <v>9</v>
      </c>
      <c r="D25" s="2">
        <v>55</v>
      </c>
      <c r="E25" s="1" t="s">
        <v>22</v>
      </c>
      <c r="F25" s="2">
        <v>12000</v>
      </c>
      <c r="G25" s="1" t="s">
        <v>28</v>
      </c>
      <c r="H25" s="1" t="s">
        <v>29</v>
      </c>
      <c r="I25" s="1" t="s">
        <v>20</v>
      </c>
      <c r="J25" s="2">
        <v>2</v>
      </c>
      <c r="K25" s="2">
        <v>6</v>
      </c>
      <c r="L25" s="1" t="s">
        <v>20</v>
      </c>
      <c r="M25" s="2">
        <v>4100</v>
      </c>
      <c r="N25" s="2">
        <v>850</v>
      </c>
      <c r="O25" s="2"/>
    </row>
    <row r="26" spans="1:15" s="1" customFormat="1" hidden="1" x14ac:dyDescent="0.2">
      <c r="A26" s="2" t="s">
        <v>85</v>
      </c>
      <c r="B26" s="1" t="s">
        <v>18</v>
      </c>
      <c r="C26" s="1" t="s">
        <v>15</v>
      </c>
      <c r="D26" s="2">
        <v>33</v>
      </c>
      <c r="E26" s="1" t="s">
        <v>22</v>
      </c>
      <c r="F26" s="2">
        <v>16000</v>
      </c>
      <c r="G26" s="1" t="s">
        <v>28</v>
      </c>
      <c r="H26" s="1" t="s">
        <v>21</v>
      </c>
      <c r="I26" s="1" t="s">
        <v>13</v>
      </c>
      <c r="J26" s="2">
        <v>4</v>
      </c>
      <c r="K26" s="2">
        <v>5</v>
      </c>
      <c r="L26" s="1" t="s">
        <v>20</v>
      </c>
      <c r="M26" s="2">
        <v>3300</v>
      </c>
      <c r="N26" s="2">
        <v>750</v>
      </c>
      <c r="O26" s="2"/>
    </row>
    <row r="27" spans="1:15" s="1" customFormat="1" x14ac:dyDescent="0.2">
      <c r="A27" s="2" t="s">
        <v>86</v>
      </c>
      <c r="B27" s="1" t="s">
        <v>26</v>
      </c>
      <c r="C27" s="1" t="s">
        <v>15</v>
      </c>
      <c r="D27" s="2">
        <v>30</v>
      </c>
      <c r="E27" s="1" t="s">
        <v>10</v>
      </c>
      <c r="F27" s="2">
        <v>9000</v>
      </c>
      <c r="G27" s="1" t="s">
        <v>30</v>
      </c>
      <c r="H27" s="1" t="s">
        <v>12</v>
      </c>
      <c r="I27" s="1" t="s">
        <v>13</v>
      </c>
      <c r="J27" s="2">
        <v>5</v>
      </c>
      <c r="K27" s="2">
        <v>4</v>
      </c>
      <c r="L27" s="1" t="s">
        <v>13</v>
      </c>
      <c r="M27" s="2">
        <v>2800</v>
      </c>
      <c r="N27" s="2">
        <v>900</v>
      </c>
      <c r="O27" s="2"/>
    </row>
    <row r="28" spans="1:15" s="1" customFormat="1" hidden="1" x14ac:dyDescent="0.2">
      <c r="A28" s="2" t="s">
        <v>87</v>
      </c>
      <c r="B28" s="1" t="s">
        <v>8</v>
      </c>
      <c r="C28" s="1" t="s">
        <v>9</v>
      </c>
      <c r="D28" s="2">
        <v>47</v>
      </c>
      <c r="E28" s="1" t="s">
        <v>22</v>
      </c>
      <c r="F28" s="2">
        <v>12000</v>
      </c>
      <c r="G28" s="1" t="s">
        <v>28</v>
      </c>
      <c r="H28" s="1" t="s">
        <v>29</v>
      </c>
      <c r="I28" s="1" t="s">
        <v>20</v>
      </c>
      <c r="J28" s="2">
        <v>2</v>
      </c>
      <c r="K28" s="2">
        <v>7</v>
      </c>
      <c r="L28" s="1" t="s">
        <v>20</v>
      </c>
      <c r="M28" s="2">
        <v>4300</v>
      </c>
      <c r="N28" s="2">
        <v>850</v>
      </c>
      <c r="O28" s="2"/>
    </row>
    <row r="29" spans="1:15" s="1" customFormat="1" x14ac:dyDescent="0.2">
      <c r="A29" s="2" t="s">
        <v>88</v>
      </c>
      <c r="B29" s="1" t="s">
        <v>14</v>
      </c>
      <c r="C29" s="1" t="s">
        <v>15</v>
      </c>
      <c r="D29" s="2">
        <v>57</v>
      </c>
      <c r="E29" s="1" t="s">
        <v>10</v>
      </c>
      <c r="F29" s="2">
        <v>11000</v>
      </c>
      <c r="G29" s="1" t="s">
        <v>30</v>
      </c>
      <c r="H29" s="1" t="s">
        <v>29</v>
      </c>
      <c r="I29" s="1" t="s">
        <v>20</v>
      </c>
      <c r="J29" s="2">
        <v>3</v>
      </c>
      <c r="K29" s="2">
        <v>6</v>
      </c>
      <c r="L29" s="1" t="s">
        <v>13</v>
      </c>
      <c r="M29" s="2">
        <v>3800</v>
      </c>
      <c r="N29" s="2">
        <v>750</v>
      </c>
      <c r="O29" s="2"/>
    </row>
    <row r="30" spans="1:15" s="1" customFormat="1" hidden="1" x14ac:dyDescent="0.2">
      <c r="A30" s="2" t="s">
        <v>89</v>
      </c>
      <c r="B30" s="1" t="s">
        <v>26</v>
      </c>
      <c r="C30" s="1" t="s">
        <v>9</v>
      </c>
      <c r="D30" s="2">
        <v>45</v>
      </c>
      <c r="E30" s="1" t="s">
        <v>22</v>
      </c>
      <c r="F30" s="2">
        <v>13000</v>
      </c>
      <c r="G30" s="1" t="s">
        <v>11</v>
      </c>
      <c r="H30" s="1" t="s">
        <v>21</v>
      </c>
      <c r="I30" s="1" t="s">
        <v>13</v>
      </c>
      <c r="J30" s="2">
        <v>3</v>
      </c>
      <c r="K30" s="2">
        <v>7</v>
      </c>
      <c r="L30" s="1" t="s">
        <v>20</v>
      </c>
      <c r="M30" s="2">
        <v>4200</v>
      </c>
      <c r="N30" s="2">
        <v>850</v>
      </c>
      <c r="O30" s="2"/>
    </row>
    <row r="31" spans="1:15" s="1" customFormat="1" x14ac:dyDescent="0.2">
      <c r="A31" s="2" t="s">
        <v>90</v>
      </c>
      <c r="B31" s="1" t="s">
        <v>8</v>
      </c>
      <c r="C31" s="1" t="s">
        <v>15</v>
      </c>
      <c r="D31" s="2">
        <v>29</v>
      </c>
      <c r="E31" s="1" t="s">
        <v>19</v>
      </c>
      <c r="F31" s="2">
        <v>9000</v>
      </c>
      <c r="G31" s="1" t="s">
        <v>30</v>
      </c>
      <c r="H31" s="1" t="s">
        <v>12</v>
      </c>
      <c r="I31" s="1" t="s">
        <v>13</v>
      </c>
      <c r="J31" s="2">
        <v>4</v>
      </c>
      <c r="K31" s="2">
        <v>5</v>
      </c>
      <c r="L31" s="1" t="s">
        <v>13</v>
      </c>
      <c r="M31" s="2">
        <v>3300</v>
      </c>
      <c r="N31" s="2">
        <v>800</v>
      </c>
      <c r="O31"/>
    </row>
    <row r="32" spans="1:15" hidden="1" x14ac:dyDescent="0.2">
      <c r="A32" s="2"/>
      <c r="B32" s="1"/>
      <c r="C32" s="1"/>
      <c r="D32" s="2"/>
      <c r="E32" s="1"/>
      <c r="F32" s="2"/>
      <c r="G32" s="1"/>
      <c r="H32" s="1"/>
      <c r="I32" s="1"/>
      <c r="J32" s="2"/>
      <c r="K32" s="2"/>
      <c r="L32" s="1"/>
      <c r="M32" s="2"/>
      <c r="N32" s="2"/>
    </row>
  </sheetData>
  <autoFilter ref="A1:O32" xr:uid="{41E86644-8D4C-4423-ADDC-5C0A8FC43F14}">
    <filterColumn colId="2">
      <filters>
        <filter val="Regional"/>
      </filters>
    </filterColumn>
    <filterColumn colId="6">
      <filters>
        <filter val="Work"/>
      </filters>
    </filterColumn>
  </autoFilter>
  <phoneticPr fontId="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47724-001B-1D4B-8473-1E49503D8ACA}">
  <dimension ref="A1:R32"/>
  <sheetViews>
    <sheetView zoomScaleNormal="90" workbookViewId="0">
      <selection activeCell="G6" sqref="G6"/>
    </sheetView>
  </sheetViews>
  <sheetFormatPr baseColWidth="10" defaultRowHeight="15" x14ac:dyDescent="0.2"/>
  <cols>
    <col min="1" max="1" width="34.6640625" style="19" customWidth="1"/>
    <col min="2" max="2" width="45.1640625" style="19" bestFit="1" customWidth="1"/>
    <col min="3" max="3" width="20.1640625" style="19" bestFit="1" customWidth="1"/>
    <col min="4" max="4" width="12.6640625" style="19" bestFit="1" customWidth="1"/>
    <col min="5" max="5" width="12.1640625" style="19" bestFit="1" customWidth="1"/>
    <col min="6" max="6" width="28.83203125" style="19" bestFit="1" customWidth="1"/>
    <col min="7" max="8" width="11.6640625" style="19" bestFit="1" customWidth="1"/>
    <col min="9" max="9" width="24.33203125" style="19" customWidth="1"/>
    <col min="10" max="10" width="11.6640625" style="19" bestFit="1" customWidth="1"/>
    <col min="11" max="11" width="34.1640625" style="19" bestFit="1" customWidth="1"/>
    <col min="12" max="12" width="11.6640625" style="19" bestFit="1" customWidth="1"/>
    <col min="13" max="13" width="16.83203125" style="19" bestFit="1" customWidth="1"/>
    <col min="14" max="14" width="13.6640625" style="19" bestFit="1" customWidth="1"/>
    <col min="15" max="15" width="11.6640625" style="19" bestFit="1" customWidth="1"/>
    <col min="16" max="16" width="10.83203125" style="19"/>
    <col min="17" max="17" width="9.5" style="19" customWidth="1"/>
    <col min="18" max="18" width="10" style="19" customWidth="1"/>
    <col min="19" max="16384" width="10.83203125" style="19"/>
  </cols>
  <sheetData>
    <row r="1" spans="1:18" ht="16" x14ac:dyDescent="0.2">
      <c r="A1" s="45" t="s">
        <v>110</v>
      </c>
    </row>
    <row r="2" spans="1:18" ht="16" thickBot="1" x14ac:dyDescent="0.25"/>
    <row r="3" spans="1:18" x14ac:dyDescent="0.2">
      <c r="F3" s="163" t="s">
        <v>215</v>
      </c>
      <c r="G3" s="164"/>
      <c r="H3" s="164"/>
      <c r="I3" s="165"/>
      <c r="K3" s="163" t="s">
        <v>218</v>
      </c>
      <c r="L3" s="164"/>
      <c r="M3" s="164"/>
      <c r="N3" s="165"/>
      <c r="O3" s="18"/>
    </row>
    <row r="4" spans="1:18" ht="16" thickBot="1" x14ac:dyDescent="0.25">
      <c r="B4" s="39"/>
      <c r="F4" s="166"/>
      <c r="G4" s="167"/>
      <c r="H4" s="167"/>
      <c r="I4" s="168"/>
      <c r="K4" s="166"/>
      <c r="L4" s="167"/>
      <c r="M4" s="167"/>
      <c r="N4" s="168"/>
      <c r="O4" s="20"/>
      <c r="Q4" s="21" t="s">
        <v>147</v>
      </c>
      <c r="R4" s="22" t="s">
        <v>148</v>
      </c>
    </row>
    <row r="5" spans="1:18" ht="17" thickBot="1" x14ac:dyDescent="0.25">
      <c r="A5" s="46"/>
      <c r="B5" s="47" t="s">
        <v>132</v>
      </c>
      <c r="C5" s="46" t="s">
        <v>133</v>
      </c>
      <c r="F5" s="150" t="s">
        <v>111</v>
      </c>
      <c r="G5" s="151"/>
      <c r="H5" s="151"/>
      <c r="I5" s="152"/>
      <c r="K5" s="150" t="s">
        <v>219</v>
      </c>
      <c r="L5" s="151"/>
      <c r="M5" s="151"/>
      <c r="N5" s="152"/>
      <c r="O5" s="20"/>
      <c r="Q5" s="21" t="s">
        <v>114</v>
      </c>
      <c r="R5" s="21" t="s">
        <v>149</v>
      </c>
    </row>
    <row r="6" spans="1:18" ht="16" x14ac:dyDescent="0.2">
      <c r="F6" s="23" t="s">
        <v>112</v>
      </c>
      <c r="G6" s="24" t="s">
        <v>127</v>
      </c>
      <c r="H6" s="24" t="str">
        <f>IF(H7="&gt;",$R$4,IF(H7="&lt;",$R$5,$R$6))</f>
        <v>≤</v>
      </c>
      <c r="I6" s="25">
        <f>I7</f>
        <v>0</v>
      </c>
      <c r="K6" s="156" t="s">
        <v>219</v>
      </c>
      <c r="L6" s="157"/>
      <c r="M6" s="158"/>
      <c r="N6" s="26">
        <v>0.05</v>
      </c>
      <c r="O6" s="20"/>
      <c r="Q6" s="22" t="s">
        <v>128</v>
      </c>
      <c r="R6" s="27" t="s">
        <v>150</v>
      </c>
    </row>
    <row r="7" spans="1:18" ht="16" x14ac:dyDescent="0.2">
      <c r="A7" s="19" t="s">
        <v>134</v>
      </c>
      <c r="B7" s="19">
        <v>12090.90909090909</v>
      </c>
      <c r="C7" s="19">
        <v>11297.872340425532</v>
      </c>
      <c r="F7" s="23" t="s">
        <v>113</v>
      </c>
      <c r="G7" s="24" t="s">
        <v>127</v>
      </c>
      <c r="H7" s="28" t="s">
        <v>147</v>
      </c>
      <c r="I7" s="29">
        <v>0</v>
      </c>
      <c r="K7" s="156"/>
      <c r="L7" s="157"/>
      <c r="M7" s="157"/>
      <c r="N7" s="169"/>
      <c r="O7" s="20"/>
    </row>
    <row r="8" spans="1:18" ht="16" x14ac:dyDescent="0.2">
      <c r="A8" s="19" t="s">
        <v>135</v>
      </c>
      <c r="B8" s="19">
        <v>320.21954513429034</v>
      </c>
      <c r="C8" s="19">
        <v>331.66930357701881</v>
      </c>
      <c r="F8" s="30" t="s">
        <v>115</v>
      </c>
      <c r="G8" s="31"/>
      <c r="H8" s="31"/>
      <c r="I8" s="32" t="str">
        <f>IF(H7="&lt;","Lower",IF(H7="&gt;","Upper","Two"))</f>
        <v>Upper</v>
      </c>
      <c r="K8" s="150" t="s">
        <v>129</v>
      </c>
      <c r="L8" s="151"/>
      <c r="M8" s="151"/>
      <c r="N8" s="152"/>
      <c r="O8" s="20"/>
    </row>
    <row r="9" spans="1:18" ht="16" x14ac:dyDescent="0.2">
      <c r="A9" s="19" t="s">
        <v>136</v>
      </c>
      <c r="B9" s="19">
        <v>12000</v>
      </c>
      <c r="C9" s="19">
        <v>11000</v>
      </c>
      <c r="F9" s="150" t="s">
        <v>116</v>
      </c>
      <c r="G9" s="151"/>
      <c r="H9" s="151"/>
      <c r="I9" s="152"/>
      <c r="K9" s="170" t="s">
        <v>130</v>
      </c>
      <c r="L9" s="171"/>
      <c r="M9" s="171"/>
      <c r="N9" s="172"/>
      <c r="O9" s="20"/>
    </row>
    <row r="10" spans="1:18" ht="16" x14ac:dyDescent="0.2">
      <c r="A10" s="19" t="s">
        <v>137</v>
      </c>
      <c r="B10" s="19">
        <v>12000</v>
      </c>
      <c r="C10" s="19">
        <v>11000</v>
      </c>
      <c r="F10" s="33"/>
      <c r="G10" s="21"/>
      <c r="H10" s="34" t="s">
        <v>117</v>
      </c>
      <c r="I10" s="35">
        <v>0.05</v>
      </c>
      <c r="K10" s="173" t="s">
        <v>120</v>
      </c>
      <c r="L10" s="174"/>
      <c r="M10" s="175"/>
      <c r="N10" s="35">
        <f>B11</f>
        <v>2374.8117061633852</v>
      </c>
      <c r="O10" s="20"/>
    </row>
    <row r="11" spans="1:18" ht="16" x14ac:dyDescent="0.2">
      <c r="A11" s="19" t="s">
        <v>138</v>
      </c>
      <c r="B11" s="19">
        <v>2374.8117061633852</v>
      </c>
      <c r="C11" s="19">
        <v>2273.8101868795993</v>
      </c>
      <c r="F11" s="150" t="s">
        <v>118</v>
      </c>
      <c r="G11" s="151"/>
      <c r="H11" s="151"/>
      <c r="I11" s="152"/>
      <c r="K11" s="173" t="s">
        <v>121</v>
      </c>
      <c r="L11" s="174"/>
      <c r="M11" s="175"/>
      <c r="N11" s="35">
        <f>B7</f>
        <v>12090.90909090909</v>
      </c>
      <c r="O11" s="20"/>
    </row>
    <row r="12" spans="1:18" ht="16" x14ac:dyDescent="0.2">
      <c r="A12" s="19" t="s">
        <v>139</v>
      </c>
      <c r="B12" s="19">
        <v>5639730.6397306481</v>
      </c>
      <c r="C12" s="19">
        <v>5170212.7659574384</v>
      </c>
      <c r="F12" s="159" t="s">
        <v>119</v>
      </c>
      <c r="G12" s="160"/>
      <c r="H12" s="160"/>
      <c r="I12" s="36">
        <f>I19+I23-2</f>
        <v>100</v>
      </c>
      <c r="K12" s="173" t="s">
        <v>122</v>
      </c>
      <c r="L12" s="174"/>
      <c r="M12" s="175"/>
      <c r="N12" s="35">
        <f>B19</f>
        <v>55</v>
      </c>
      <c r="O12" s="20"/>
    </row>
    <row r="13" spans="1:18" ht="16" x14ac:dyDescent="0.2">
      <c r="A13" s="19" t="s">
        <v>140</v>
      </c>
      <c r="B13" s="19">
        <v>-0.67433493451659254</v>
      </c>
      <c r="C13" s="19">
        <v>-0.8790946649319249</v>
      </c>
      <c r="F13" s="159" t="str">
        <f>IF(H6="=","Lower Critical Value","Critical Value")</f>
        <v>Critical Value</v>
      </c>
      <c r="G13" s="160"/>
      <c r="H13" s="160"/>
      <c r="I13" s="37">
        <f>IF(I8="Two",-(TINV(I10,I12)),IF(I8="Lower",-(TINV(I10*2,I12)),TINV(I10*2,I12)))</f>
        <v>1.6602343260853425</v>
      </c>
      <c r="K13" s="178" t="s">
        <v>131</v>
      </c>
      <c r="L13" s="179"/>
      <c r="M13" s="179"/>
      <c r="N13" s="180"/>
      <c r="O13" s="20"/>
    </row>
    <row r="14" spans="1:18" ht="16" x14ac:dyDescent="0.2">
      <c r="A14" s="19" t="s">
        <v>141</v>
      </c>
      <c r="B14" s="19">
        <v>9.455758634900846E-2</v>
      </c>
      <c r="C14" s="19">
        <v>0.29787297905991944</v>
      </c>
      <c r="F14" s="156" t="str">
        <f>IF(H6="=","Upper Critical Value","")</f>
        <v/>
      </c>
      <c r="G14" s="157"/>
      <c r="H14" s="158"/>
      <c r="I14" s="38" t="str">
        <f>IF(H6="=",-I13,"")</f>
        <v/>
      </c>
      <c r="K14" s="173" t="s">
        <v>120</v>
      </c>
      <c r="L14" s="174"/>
      <c r="M14" s="175"/>
      <c r="N14" s="35">
        <f>C11</f>
        <v>2273.8101868795993</v>
      </c>
      <c r="O14" s="20"/>
    </row>
    <row r="15" spans="1:18" ht="16" x14ac:dyDescent="0.2">
      <c r="A15" s="19" t="s">
        <v>142</v>
      </c>
      <c r="B15" s="19">
        <v>10000</v>
      </c>
      <c r="C15" s="19">
        <v>8000</v>
      </c>
      <c r="F15" s="150" t="s">
        <v>129</v>
      </c>
      <c r="G15" s="151"/>
      <c r="H15" s="151"/>
      <c r="I15" s="152"/>
      <c r="K15" s="173" t="s">
        <v>121</v>
      </c>
      <c r="L15" s="174"/>
      <c r="M15" s="175"/>
      <c r="N15" s="35">
        <f>C7</f>
        <v>11297.872340425532</v>
      </c>
      <c r="O15" s="20"/>
    </row>
    <row r="16" spans="1:18" ht="16" x14ac:dyDescent="0.2">
      <c r="A16" s="19" t="s">
        <v>143</v>
      </c>
      <c r="B16" s="19">
        <v>8000</v>
      </c>
      <c r="C16" s="19">
        <v>8000</v>
      </c>
      <c r="F16" s="170" t="s">
        <v>130</v>
      </c>
      <c r="G16" s="171"/>
      <c r="H16" s="171"/>
      <c r="I16" s="172"/>
      <c r="K16" s="173" t="s">
        <v>122</v>
      </c>
      <c r="L16" s="174"/>
      <c r="M16" s="175"/>
      <c r="N16" s="35">
        <f>C19</f>
        <v>47</v>
      </c>
      <c r="O16" s="20"/>
    </row>
    <row r="17" spans="1:16" ht="16" x14ac:dyDescent="0.2">
      <c r="A17" s="19" t="s">
        <v>144</v>
      </c>
      <c r="B17" s="19">
        <v>18000</v>
      </c>
      <c r="C17" s="19">
        <v>16000</v>
      </c>
      <c r="F17" s="156" t="s">
        <v>120</v>
      </c>
      <c r="G17" s="157"/>
      <c r="H17" s="158"/>
      <c r="I17" s="35">
        <f>B11</f>
        <v>2374.8117061633852</v>
      </c>
      <c r="K17" s="181"/>
      <c r="L17" s="182"/>
      <c r="M17" s="182"/>
      <c r="N17" s="183"/>
      <c r="O17" s="20"/>
    </row>
    <row r="18" spans="1:16" ht="16" x14ac:dyDescent="0.2">
      <c r="A18" s="19" t="s">
        <v>145</v>
      </c>
      <c r="B18" s="19">
        <v>665000</v>
      </c>
      <c r="C18" s="19">
        <v>531000</v>
      </c>
      <c r="F18" s="156" t="s">
        <v>121</v>
      </c>
      <c r="G18" s="157"/>
      <c r="H18" s="158"/>
      <c r="I18" s="35">
        <f>B7</f>
        <v>12090.90909090909</v>
      </c>
      <c r="K18" s="184" t="s">
        <v>220</v>
      </c>
      <c r="L18" s="185"/>
      <c r="M18" s="185"/>
      <c r="N18" s="186"/>
      <c r="O18" s="20"/>
    </row>
    <row r="19" spans="1:16" ht="17" thickBot="1" x14ac:dyDescent="0.25">
      <c r="A19" s="39" t="s">
        <v>146</v>
      </c>
      <c r="B19" s="39">
        <v>55</v>
      </c>
      <c r="C19" s="39">
        <v>47</v>
      </c>
      <c r="F19" s="156" t="s">
        <v>122</v>
      </c>
      <c r="G19" s="157"/>
      <c r="H19" s="158"/>
      <c r="I19" s="29">
        <f>B19</f>
        <v>55</v>
      </c>
      <c r="K19" s="176" t="s">
        <v>119</v>
      </c>
      <c r="L19" s="177"/>
      <c r="M19" s="177"/>
      <c r="N19" s="143">
        <f>N12+N16-2</f>
        <v>100</v>
      </c>
      <c r="O19" s="20"/>
    </row>
    <row r="20" spans="1:16" x14ac:dyDescent="0.2">
      <c r="F20" s="170" t="s">
        <v>131</v>
      </c>
      <c r="G20" s="171"/>
      <c r="H20" s="171"/>
      <c r="I20" s="172"/>
      <c r="K20" s="173" t="s">
        <v>216</v>
      </c>
      <c r="L20" s="174"/>
      <c r="M20" s="175"/>
      <c r="N20" s="40">
        <f>((N12-1)*N10^2+(N16-1)*N14^2)/N19</f>
        <v>5423752.4177949717</v>
      </c>
      <c r="O20" s="20"/>
    </row>
    <row r="21" spans="1:16" ht="48" x14ac:dyDescent="0.2">
      <c r="A21" s="19" t="s">
        <v>213</v>
      </c>
      <c r="B21" s="19" t="s">
        <v>214</v>
      </c>
      <c r="F21" s="156" t="s">
        <v>120</v>
      </c>
      <c r="G21" s="157"/>
      <c r="H21" s="158"/>
      <c r="I21" s="35">
        <f>C11</f>
        <v>2273.8101868795993</v>
      </c>
      <c r="K21" s="176" t="s">
        <v>123</v>
      </c>
      <c r="L21" s="177"/>
      <c r="M21" s="177"/>
      <c r="N21" s="143">
        <f>SQRT(N20*(1/N12+1/N16))</f>
        <v>462.61503211223464</v>
      </c>
      <c r="O21" s="20"/>
    </row>
    <row r="22" spans="1:16" ht="32" x14ac:dyDescent="0.2">
      <c r="A22" s="19" t="s">
        <v>112</v>
      </c>
      <c r="B22" s="19" t="s">
        <v>154</v>
      </c>
      <c r="F22" s="156" t="s">
        <v>121</v>
      </c>
      <c r="G22" s="157"/>
      <c r="H22" s="158"/>
      <c r="I22" s="35">
        <f>C7</f>
        <v>11297.872340425532</v>
      </c>
      <c r="K22" s="190" t="s">
        <v>221</v>
      </c>
      <c r="L22" s="191"/>
      <c r="M22" s="191"/>
      <c r="N22" s="143">
        <f>TINV(1-N6,N19)</f>
        <v>6.28643589462132E-2</v>
      </c>
      <c r="O22" s="20"/>
    </row>
    <row r="23" spans="1:16" ht="32" x14ac:dyDescent="0.2">
      <c r="A23" s="19" t="s">
        <v>152</v>
      </c>
      <c r="B23" s="19" t="s">
        <v>153</v>
      </c>
      <c r="F23" s="156" t="s">
        <v>122</v>
      </c>
      <c r="G23" s="157"/>
      <c r="H23" s="158"/>
      <c r="I23" s="29">
        <f>C19</f>
        <v>47</v>
      </c>
      <c r="K23" s="181"/>
      <c r="L23" s="182"/>
      <c r="M23" s="182"/>
      <c r="N23" s="183"/>
      <c r="O23" s="20"/>
    </row>
    <row r="24" spans="1:16" ht="48" x14ac:dyDescent="0.2">
      <c r="A24" s="19" t="s">
        <v>126</v>
      </c>
      <c r="B24" s="19" t="s">
        <v>217</v>
      </c>
      <c r="F24" s="147"/>
      <c r="G24" s="148"/>
      <c r="H24" s="148"/>
      <c r="I24" s="149"/>
      <c r="K24" s="184" t="s">
        <v>222</v>
      </c>
      <c r="L24" s="185"/>
      <c r="M24" s="185"/>
      <c r="N24" s="186"/>
      <c r="O24" s="20"/>
    </row>
    <row r="25" spans="1:16" x14ac:dyDescent="0.2">
      <c r="F25" s="156" t="s">
        <v>216</v>
      </c>
      <c r="G25" s="157"/>
      <c r="H25" s="158"/>
      <c r="I25" s="40">
        <f>((I19-1)*I17^2+(I23-1)*I21^2)/I12</f>
        <v>5423752.4177949717</v>
      </c>
      <c r="K25" s="192" t="s">
        <v>223</v>
      </c>
      <c r="L25" s="193"/>
      <c r="M25" s="194"/>
      <c r="N25" s="41">
        <f>(N11-N15)-N22*N21</f>
        <v>763.95475305094021</v>
      </c>
      <c r="O25" s="20"/>
      <c r="P25" s="105"/>
    </row>
    <row r="26" spans="1:16" ht="16" thickBot="1" x14ac:dyDescent="0.25">
      <c r="F26" s="159" t="s">
        <v>123</v>
      </c>
      <c r="G26" s="160"/>
      <c r="H26" s="160"/>
      <c r="I26" s="38">
        <f>SQRT(I25*(1/I19+1/I23))</f>
        <v>462.61503211223464</v>
      </c>
      <c r="K26" s="187" t="s">
        <v>224</v>
      </c>
      <c r="L26" s="188"/>
      <c r="M26" s="189"/>
      <c r="N26" s="42">
        <f>(N11-N15)+N22*N21</f>
        <v>822.11874791617504</v>
      </c>
      <c r="O26" s="20"/>
    </row>
    <row r="27" spans="1:16" x14ac:dyDescent="0.2">
      <c r="F27" s="161" t="s">
        <v>124</v>
      </c>
      <c r="G27" s="162"/>
      <c r="H27" s="162"/>
      <c r="I27" s="43">
        <f>((I18-I22)-I6)/I26</f>
        <v>1.7142476907044379</v>
      </c>
      <c r="K27" s="44"/>
      <c r="L27" s="20"/>
      <c r="N27" s="44"/>
      <c r="O27" s="20"/>
    </row>
    <row r="28" spans="1:16" x14ac:dyDescent="0.2">
      <c r="F28" s="159" t="s">
        <v>125</v>
      </c>
      <c r="G28" s="160"/>
      <c r="H28" s="160"/>
      <c r="I28" s="43">
        <f>IF(H6="=",TDIST(ABS(I27),I12,2),IF(I27*I13&gt;0,TDIST(ABS(I27),I12,1),1-TDIST(ABS(I27),I12,1)))</f>
        <v>4.4790563502836021E-2</v>
      </c>
      <c r="K28" s="44"/>
      <c r="L28" s="20"/>
      <c r="N28" s="44"/>
      <c r="O28" s="20"/>
    </row>
    <row r="29" spans="1:16" x14ac:dyDescent="0.2">
      <c r="F29" s="147"/>
      <c r="G29" s="148"/>
      <c r="H29" s="148"/>
      <c r="I29" s="149"/>
      <c r="K29" s="44"/>
      <c r="L29" s="20"/>
      <c r="N29" s="44"/>
      <c r="O29" s="20"/>
    </row>
    <row r="30" spans="1:16" x14ac:dyDescent="0.2">
      <c r="F30" s="150" t="s">
        <v>126</v>
      </c>
      <c r="G30" s="151"/>
      <c r="H30" s="151"/>
      <c r="I30" s="152"/>
      <c r="K30" s="44"/>
      <c r="L30" s="20"/>
      <c r="N30" s="44"/>
      <c r="O30" s="20"/>
    </row>
    <row r="31" spans="1:16" ht="16" thickBot="1" x14ac:dyDescent="0.25">
      <c r="F31" s="153" t="str">
        <f>IF(I28&lt;I10,"Reject Null Hypothesis", "Fail to reject Null Hypothesis")</f>
        <v>Reject Null Hypothesis</v>
      </c>
      <c r="G31" s="154"/>
      <c r="H31" s="154"/>
      <c r="I31" s="155"/>
      <c r="K31" s="44"/>
      <c r="L31" s="20"/>
      <c r="N31" s="44"/>
      <c r="O31" s="20"/>
    </row>
    <row r="32" spans="1:16" x14ac:dyDescent="0.2">
      <c r="K32" s="44"/>
      <c r="L32" s="20"/>
      <c r="N32" s="44"/>
      <c r="O32" s="20"/>
    </row>
  </sheetData>
  <mergeCells count="49">
    <mergeCell ref="K18:N18"/>
    <mergeCell ref="K19:M19"/>
    <mergeCell ref="K20:M20"/>
    <mergeCell ref="K26:M26"/>
    <mergeCell ref="K22:M22"/>
    <mergeCell ref="K23:N23"/>
    <mergeCell ref="K24:N24"/>
    <mergeCell ref="K25:M25"/>
    <mergeCell ref="F18:H18"/>
    <mergeCell ref="F12:H12"/>
    <mergeCell ref="F19:H19"/>
    <mergeCell ref="F20:I20"/>
    <mergeCell ref="K21:M21"/>
    <mergeCell ref="K13:N13"/>
    <mergeCell ref="K14:M14"/>
    <mergeCell ref="K15:M15"/>
    <mergeCell ref="F21:H21"/>
    <mergeCell ref="F13:H13"/>
    <mergeCell ref="F14:H14"/>
    <mergeCell ref="F15:I15"/>
    <mergeCell ref="F16:I16"/>
    <mergeCell ref="F17:H17"/>
    <mergeCell ref="K16:M16"/>
    <mergeCell ref="K17:N17"/>
    <mergeCell ref="F3:I3"/>
    <mergeCell ref="F4:I4"/>
    <mergeCell ref="F5:I5"/>
    <mergeCell ref="F9:I9"/>
    <mergeCell ref="F11:I11"/>
    <mergeCell ref="K8:N8"/>
    <mergeCell ref="K9:N9"/>
    <mergeCell ref="K10:M10"/>
    <mergeCell ref="K11:M11"/>
    <mergeCell ref="K12:M12"/>
    <mergeCell ref="K3:N3"/>
    <mergeCell ref="K4:N4"/>
    <mergeCell ref="K5:N5"/>
    <mergeCell ref="K6:M6"/>
    <mergeCell ref="K7:N7"/>
    <mergeCell ref="F29:I29"/>
    <mergeCell ref="F30:I30"/>
    <mergeCell ref="F31:I31"/>
    <mergeCell ref="F22:H22"/>
    <mergeCell ref="F23:H23"/>
    <mergeCell ref="F26:H26"/>
    <mergeCell ref="F27:H27"/>
    <mergeCell ref="F28:H28"/>
    <mergeCell ref="F24:I24"/>
    <mergeCell ref="F25:H25"/>
  </mergeCells>
  <conditionalFormatting sqref="I14">
    <cfRule type="cellIs" dxfId="3" priority="2" stopIfTrue="1" operator="notEqual">
      <formula>""</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620E5-4055-3C45-B75D-47829588D520}">
  <dimension ref="A1:M29"/>
  <sheetViews>
    <sheetView zoomScale="125" workbookViewId="0">
      <selection activeCell="B13" sqref="B13:D13"/>
    </sheetView>
  </sheetViews>
  <sheetFormatPr baseColWidth="10" defaultRowHeight="15" x14ac:dyDescent="0.2"/>
  <cols>
    <col min="1" max="1" width="18.5" style="67" customWidth="1"/>
    <col min="2" max="2" width="16.1640625" style="67" customWidth="1"/>
    <col min="3" max="16384" width="10.83203125" style="67"/>
  </cols>
  <sheetData>
    <row r="1" spans="1:13" ht="16" x14ac:dyDescent="0.2">
      <c r="A1" s="65" t="s">
        <v>151</v>
      </c>
      <c r="B1" s="15"/>
      <c r="C1" s="15"/>
      <c r="D1" s="15"/>
      <c r="E1" s="15"/>
      <c r="F1" s="222" t="s">
        <v>155</v>
      </c>
      <c r="G1" s="223"/>
      <c r="H1" s="223"/>
      <c r="I1" s="224"/>
      <c r="J1" s="15"/>
    </row>
    <row r="2" spans="1:13" x14ac:dyDescent="0.2">
      <c r="A2" s="15"/>
      <c r="B2" s="15"/>
      <c r="C2" s="15"/>
      <c r="D2" s="15"/>
      <c r="E2" s="15"/>
      <c r="F2" s="225"/>
      <c r="G2" s="226"/>
      <c r="H2" s="226"/>
      <c r="I2" s="227"/>
      <c r="J2" s="15"/>
    </row>
    <row r="3" spans="1:13" ht="16" x14ac:dyDescent="0.2">
      <c r="A3" s="68" t="s">
        <v>226</v>
      </c>
      <c r="B3" s="68" t="s">
        <v>225</v>
      </c>
      <c r="C3" s="15"/>
      <c r="D3" s="15"/>
      <c r="E3" s="15"/>
      <c r="F3" s="196" t="s">
        <v>111</v>
      </c>
      <c r="G3" s="197"/>
      <c r="H3" s="197"/>
      <c r="I3" s="198"/>
      <c r="J3" s="15"/>
      <c r="L3" s="21" t="s">
        <v>147</v>
      </c>
      <c r="M3" s="22" t="s">
        <v>148</v>
      </c>
    </row>
    <row r="4" spans="1:13" ht="28" x14ac:dyDescent="0.15">
      <c r="A4" s="68" t="s">
        <v>164</v>
      </c>
      <c r="B4" s="15" t="s">
        <v>20</v>
      </c>
      <c r="C4" s="15" t="s">
        <v>13</v>
      </c>
      <c r="D4" s="15" t="s">
        <v>165</v>
      </c>
      <c r="E4" s="15"/>
      <c r="F4" s="69" t="s">
        <v>112</v>
      </c>
      <c r="G4" s="70" t="s">
        <v>156</v>
      </c>
      <c r="H4" s="71" t="str">
        <f>IF(H5="&gt;",M3,IF(H5="&lt;",M4,M5))</f>
        <v>≥</v>
      </c>
      <c r="I4" s="72">
        <v>0</v>
      </c>
      <c r="J4" s="15"/>
      <c r="L4" s="21" t="s">
        <v>114</v>
      </c>
      <c r="M4" s="21" t="s">
        <v>149</v>
      </c>
    </row>
    <row r="5" spans="1:13" ht="28" x14ac:dyDescent="0.2">
      <c r="A5" s="73" t="s">
        <v>9</v>
      </c>
      <c r="B5" s="15">
        <v>19</v>
      </c>
      <c r="C5" s="15">
        <v>36</v>
      </c>
      <c r="D5" s="15">
        <v>55</v>
      </c>
      <c r="E5" s="15"/>
      <c r="F5" s="69" t="s">
        <v>113</v>
      </c>
      <c r="G5" s="70" t="s">
        <v>156</v>
      </c>
      <c r="H5" s="71" t="s">
        <v>114</v>
      </c>
      <c r="I5" s="74">
        <v>0</v>
      </c>
      <c r="J5" s="15"/>
      <c r="L5" s="22" t="s">
        <v>128</v>
      </c>
      <c r="M5" s="27" t="s">
        <v>150</v>
      </c>
    </row>
    <row r="6" spans="1:13" ht="16" x14ac:dyDescent="0.2">
      <c r="A6" s="73" t="s">
        <v>15</v>
      </c>
      <c r="B6" s="15">
        <v>10</v>
      </c>
      <c r="C6" s="15">
        <v>37</v>
      </c>
      <c r="D6" s="15">
        <v>47</v>
      </c>
      <c r="E6" s="15"/>
      <c r="F6" s="75" t="s">
        <v>115</v>
      </c>
      <c r="G6" s="76"/>
      <c r="H6" s="15"/>
      <c r="I6" s="77" t="str">
        <f>IF(H5="&lt;","Lower",IF(H5="&gt;","Upper","Two"))</f>
        <v>Lower</v>
      </c>
      <c r="J6" s="15"/>
    </row>
    <row r="7" spans="1:13" ht="16" x14ac:dyDescent="0.2">
      <c r="A7" s="73" t="s">
        <v>165</v>
      </c>
      <c r="B7" s="15">
        <v>29</v>
      </c>
      <c r="C7" s="15">
        <v>73</v>
      </c>
      <c r="D7" s="15">
        <v>102</v>
      </c>
      <c r="E7" s="15"/>
      <c r="F7" s="196" t="s">
        <v>116</v>
      </c>
      <c r="G7" s="197"/>
      <c r="H7" s="197"/>
      <c r="I7" s="198"/>
      <c r="J7" s="15"/>
    </row>
    <row r="8" spans="1:13" x14ac:dyDescent="0.2">
      <c r="A8" s="15"/>
      <c r="B8" s="15"/>
      <c r="C8" s="15"/>
      <c r="D8" s="15"/>
      <c r="E8" s="15"/>
      <c r="F8" s="78"/>
      <c r="G8" s="79"/>
      <c r="H8" s="80" t="s">
        <v>117</v>
      </c>
      <c r="I8" s="81">
        <v>0.05</v>
      </c>
      <c r="J8" s="15"/>
    </row>
    <row r="9" spans="1:13" x14ac:dyDescent="0.2">
      <c r="A9" s="15"/>
      <c r="B9" s="15"/>
      <c r="C9" s="15"/>
      <c r="D9" s="15"/>
      <c r="E9" s="15"/>
      <c r="F9" s="196" t="s">
        <v>118</v>
      </c>
      <c r="G9" s="197"/>
      <c r="H9" s="197"/>
      <c r="I9" s="198"/>
      <c r="J9" s="15"/>
    </row>
    <row r="10" spans="1:13" x14ac:dyDescent="0.2">
      <c r="A10" s="15"/>
      <c r="B10" s="15"/>
      <c r="C10" s="15"/>
      <c r="D10" s="15"/>
      <c r="E10" s="15"/>
      <c r="F10" s="202" t="str">
        <f>IF(H4="=","Lower Critical Value","Critical Value")</f>
        <v>Critical Value</v>
      </c>
      <c r="G10" s="203"/>
      <c r="H10" s="203"/>
      <c r="I10" s="88">
        <f>IF(I6="Two",NORMSINV(I8/2),IF(I6="Lower",NORMSINV(I8),NORMSINV(1-I8)))</f>
        <v>-1.6448536269514726</v>
      </c>
      <c r="J10" s="15"/>
    </row>
    <row r="11" spans="1:13" ht="64" customHeight="1" x14ac:dyDescent="0.2">
      <c r="A11" s="15" t="s">
        <v>227</v>
      </c>
      <c r="B11" s="195" t="s">
        <v>229</v>
      </c>
      <c r="C11" s="195"/>
      <c r="D11" s="195"/>
      <c r="E11" s="15"/>
      <c r="F11" s="221" t="str">
        <f>IF(H4="=","Upper Critical Value","")</f>
        <v/>
      </c>
      <c r="G11" s="210"/>
      <c r="H11" s="211"/>
      <c r="I11" s="83" t="str">
        <f>IF(H4="=",-I10,"")</f>
        <v/>
      </c>
      <c r="J11" s="15"/>
    </row>
    <row r="12" spans="1:13" ht="48" customHeight="1" x14ac:dyDescent="0.2">
      <c r="A12" s="15" t="s">
        <v>207</v>
      </c>
      <c r="B12" s="195" t="s">
        <v>228</v>
      </c>
      <c r="C12" s="195"/>
      <c r="D12" s="195"/>
      <c r="E12" s="15"/>
      <c r="F12" s="196" t="s">
        <v>157</v>
      </c>
      <c r="G12" s="197"/>
      <c r="H12" s="197"/>
      <c r="I12" s="198"/>
      <c r="J12" s="15"/>
    </row>
    <row r="13" spans="1:13" ht="68" customHeight="1" x14ac:dyDescent="0.2">
      <c r="A13" s="15" t="s">
        <v>126</v>
      </c>
      <c r="B13" s="195" t="s">
        <v>230</v>
      </c>
      <c r="C13" s="195"/>
      <c r="D13" s="195"/>
      <c r="E13" s="15"/>
      <c r="F13" s="218" t="s">
        <v>130</v>
      </c>
      <c r="G13" s="219"/>
      <c r="H13" s="219"/>
      <c r="I13" s="220"/>
      <c r="J13" s="15"/>
    </row>
    <row r="14" spans="1:13" x14ac:dyDescent="0.2">
      <c r="A14" s="15"/>
      <c r="B14" s="15"/>
      <c r="C14" s="15"/>
      <c r="D14" s="15"/>
      <c r="E14" s="15"/>
      <c r="F14" s="209" t="s">
        <v>122</v>
      </c>
      <c r="G14" s="210"/>
      <c r="H14" s="211"/>
      <c r="I14" s="84">
        <v>55</v>
      </c>
      <c r="J14" s="15"/>
    </row>
    <row r="15" spans="1:13" x14ac:dyDescent="0.2">
      <c r="A15" s="15"/>
      <c r="B15" s="15"/>
      <c r="C15" s="15"/>
      <c r="D15" s="15"/>
      <c r="E15" s="15"/>
      <c r="F15" s="209" t="s">
        <v>158</v>
      </c>
      <c r="G15" s="210"/>
      <c r="H15" s="211"/>
      <c r="I15" s="81">
        <f>36/55</f>
        <v>0.65454545454545454</v>
      </c>
      <c r="J15" s="15"/>
    </row>
    <row r="16" spans="1:13" x14ac:dyDescent="0.2">
      <c r="A16" s="15"/>
      <c r="B16" s="15"/>
      <c r="C16" s="15"/>
      <c r="D16" s="15"/>
      <c r="E16" s="15"/>
      <c r="F16" s="202" t="s">
        <v>159</v>
      </c>
      <c r="G16" s="203"/>
      <c r="H16" s="203"/>
      <c r="I16" s="85">
        <f>I15/I14</f>
        <v>1.1900826446280991E-2</v>
      </c>
      <c r="J16" s="15"/>
    </row>
    <row r="17" spans="1:10" x14ac:dyDescent="0.2">
      <c r="A17" s="15"/>
      <c r="B17" s="15"/>
      <c r="C17" s="15"/>
      <c r="D17" s="15"/>
      <c r="E17" s="15"/>
      <c r="F17" s="218" t="s">
        <v>131</v>
      </c>
      <c r="G17" s="219"/>
      <c r="H17" s="219"/>
      <c r="I17" s="220"/>
      <c r="J17" s="15"/>
    </row>
    <row r="18" spans="1:10" x14ac:dyDescent="0.2">
      <c r="A18" s="15"/>
      <c r="B18" s="15"/>
      <c r="C18" s="15"/>
      <c r="D18" s="15"/>
      <c r="E18" s="15"/>
      <c r="F18" s="209" t="s">
        <v>122</v>
      </c>
      <c r="G18" s="210"/>
      <c r="H18" s="211"/>
      <c r="I18" s="84">
        <v>47</v>
      </c>
      <c r="J18" s="15"/>
    </row>
    <row r="19" spans="1:10" x14ac:dyDescent="0.2">
      <c r="A19" s="15"/>
      <c r="B19" s="15"/>
      <c r="C19" s="15"/>
      <c r="D19" s="15"/>
      <c r="E19" s="15"/>
      <c r="F19" s="209" t="s">
        <v>158</v>
      </c>
      <c r="G19" s="210"/>
      <c r="H19" s="211"/>
      <c r="I19" s="81">
        <f>37/47</f>
        <v>0.78723404255319152</v>
      </c>
      <c r="J19" s="15"/>
    </row>
    <row r="20" spans="1:10" x14ac:dyDescent="0.2">
      <c r="A20" s="15"/>
      <c r="B20" s="15"/>
      <c r="C20" s="15"/>
      <c r="D20" s="15"/>
      <c r="E20" s="15"/>
      <c r="F20" s="202" t="s">
        <v>160</v>
      </c>
      <c r="G20" s="203"/>
      <c r="H20" s="203"/>
      <c r="I20" s="85">
        <f>I19/I18</f>
        <v>1.6749660479855138E-2</v>
      </c>
      <c r="J20" s="15"/>
    </row>
    <row r="21" spans="1:10" x14ac:dyDescent="0.2">
      <c r="A21" s="15"/>
      <c r="B21" s="15"/>
      <c r="C21" s="15"/>
      <c r="D21" s="15"/>
      <c r="E21" s="15"/>
      <c r="F21" s="212"/>
      <c r="G21" s="213"/>
      <c r="H21" s="213"/>
      <c r="I21" s="214"/>
      <c r="J21" s="15"/>
    </row>
    <row r="22" spans="1:10" x14ac:dyDescent="0.2">
      <c r="A22" s="15"/>
      <c r="B22" s="15"/>
      <c r="C22" s="15"/>
      <c r="D22" s="15"/>
      <c r="E22" s="15"/>
      <c r="F22" s="215"/>
      <c r="G22" s="216"/>
      <c r="H22" s="216"/>
      <c r="I22" s="217"/>
      <c r="J22" s="15"/>
    </row>
    <row r="23" spans="1:10" x14ac:dyDescent="0.2">
      <c r="A23" s="15"/>
      <c r="B23" s="15"/>
      <c r="C23" s="15"/>
      <c r="D23" s="15"/>
      <c r="E23" s="15"/>
      <c r="F23" s="202" t="s">
        <v>161</v>
      </c>
      <c r="G23" s="203"/>
      <c r="H23" s="203"/>
      <c r="I23" s="85">
        <f>(I15+I19)/(I14+I18)</f>
        <v>1.4135093108810257E-2</v>
      </c>
      <c r="J23" s="15"/>
    </row>
    <row r="24" spans="1:10" x14ac:dyDescent="0.2">
      <c r="A24" s="15"/>
      <c r="B24" s="15"/>
      <c r="C24" s="15"/>
      <c r="D24" s="15"/>
      <c r="E24" s="15"/>
      <c r="F24" s="202" t="s">
        <v>135</v>
      </c>
      <c r="G24" s="203"/>
      <c r="H24" s="203"/>
      <c r="I24" s="85">
        <f>SQRT(I23*(1-I23)*(1/I14+1/I18))</f>
        <v>2.3449190387963927E-2</v>
      </c>
      <c r="J24" s="15"/>
    </row>
    <row r="25" spans="1:10" x14ac:dyDescent="0.2">
      <c r="A25" s="15"/>
      <c r="B25" s="15"/>
      <c r="C25" s="15"/>
      <c r="D25" s="15"/>
      <c r="E25" s="15"/>
      <c r="F25" s="204" t="s">
        <v>162</v>
      </c>
      <c r="G25" s="205"/>
      <c r="H25" s="205"/>
      <c r="I25" s="89">
        <f>((I16-I20)-I4)/I24</f>
        <v>-0.20678044543759477</v>
      </c>
      <c r="J25" s="15"/>
    </row>
    <row r="26" spans="1:10" x14ac:dyDescent="0.2">
      <c r="A26" s="15"/>
      <c r="B26" s="15"/>
      <c r="C26" s="15"/>
      <c r="D26" s="15"/>
      <c r="E26" s="15"/>
      <c r="F26" s="202" t="s">
        <v>125</v>
      </c>
      <c r="G26" s="203"/>
      <c r="H26" s="203"/>
      <c r="I26" s="89">
        <f>IF(I6="Two",2*(1-NORMSDIST(ABS(I25))),IF(I6="Lower",NORMSDIST(I25),1-NORMSDIST((I25))))</f>
        <v>0.41809066419079205</v>
      </c>
      <c r="J26" s="15"/>
    </row>
    <row r="27" spans="1:10" x14ac:dyDescent="0.2">
      <c r="A27" s="15"/>
      <c r="B27" s="15"/>
      <c r="C27" s="15"/>
      <c r="D27" s="15"/>
      <c r="E27" s="15"/>
      <c r="F27" s="206"/>
      <c r="G27" s="207"/>
      <c r="H27" s="207"/>
      <c r="I27" s="208"/>
      <c r="J27" s="15"/>
    </row>
    <row r="28" spans="1:10" x14ac:dyDescent="0.2">
      <c r="A28" s="15"/>
      <c r="B28" s="15"/>
      <c r="C28" s="15"/>
      <c r="D28" s="15"/>
      <c r="E28" s="15"/>
      <c r="F28" s="196" t="s">
        <v>126</v>
      </c>
      <c r="G28" s="197"/>
      <c r="H28" s="197"/>
      <c r="I28" s="198"/>
      <c r="J28" s="15"/>
    </row>
    <row r="29" spans="1:10" ht="16" thickBot="1" x14ac:dyDescent="0.25">
      <c r="A29" s="15"/>
      <c r="B29" s="15"/>
      <c r="C29" s="15"/>
      <c r="D29" s="15"/>
      <c r="E29" s="15"/>
      <c r="F29" s="199" t="str">
        <f>IF(I26&lt;I8,"Reject Null Hypothesis", "Fail to reject Null Hypothesis")</f>
        <v>Fail to reject Null Hypothesis</v>
      </c>
      <c r="G29" s="200"/>
      <c r="H29" s="200"/>
      <c r="I29" s="201"/>
      <c r="J29" s="15"/>
    </row>
  </sheetData>
  <mergeCells count="27">
    <mergeCell ref="F7:I7"/>
    <mergeCell ref="F9:I9"/>
    <mergeCell ref="F1:I1"/>
    <mergeCell ref="F2:I2"/>
    <mergeCell ref="F3:I3"/>
    <mergeCell ref="F13:I13"/>
    <mergeCell ref="F14:H14"/>
    <mergeCell ref="F15:H15"/>
    <mergeCell ref="F10:H10"/>
    <mergeCell ref="F11:H11"/>
    <mergeCell ref="F12:I12"/>
    <mergeCell ref="B11:D11"/>
    <mergeCell ref="B12:D12"/>
    <mergeCell ref="B13:D13"/>
    <mergeCell ref="F28:I28"/>
    <mergeCell ref="F29:I29"/>
    <mergeCell ref="F23:H23"/>
    <mergeCell ref="F24:H24"/>
    <mergeCell ref="F25:H25"/>
    <mergeCell ref="F26:H26"/>
    <mergeCell ref="F27:I27"/>
    <mergeCell ref="F19:H19"/>
    <mergeCell ref="F20:H20"/>
    <mergeCell ref="F21:I22"/>
    <mergeCell ref="F16:H16"/>
    <mergeCell ref="F17:I17"/>
    <mergeCell ref="F18:H18"/>
  </mergeCells>
  <conditionalFormatting sqref="I4">
    <cfRule type="cellIs" dxfId="2" priority="1" stopIfTrue="1" operator="notEqual">
      <formula>""</formula>
    </cfRule>
  </conditionalFormatting>
  <conditionalFormatting sqref="I11">
    <cfRule type="cellIs" dxfId="1" priority="2" stopIfTrue="1" operator="notEqual">
      <formula>""</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3B0CA-3CCD-E848-AFBF-4F4AF5ECA56C}">
  <dimension ref="A1:Q58"/>
  <sheetViews>
    <sheetView topLeftCell="A38" zoomScale="125" workbookViewId="0">
      <selection activeCell="E55" sqref="E55"/>
    </sheetView>
  </sheetViews>
  <sheetFormatPr baseColWidth="10" defaultRowHeight="15" x14ac:dyDescent="0.2"/>
  <cols>
    <col min="2" max="2" width="15.33203125" customWidth="1"/>
    <col min="3" max="5" width="12.6640625" bestFit="1" customWidth="1"/>
    <col min="6" max="6" width="16" customWidth="1"/>
    <col min="7" max="7" width="39.33203125" customWidth="1"/>
    <col min="9" max="9" width="22.33203125" customWidth="1"/>
    <col min="10" max="10" width="11.6640625" bestFit="1" customWidth="1"/>
    <col min="11" max="11" width="7.33203125" bestFit="1" customWidth="1"/>
    <col min="12" max="12" width="11.6640625" bestFit="1" customWidth="1"/>
    <col min="13" max="13" width="19" customWidth="1"/>
    <col min="14" max="16" width="11.6640625" bestFit="1" customWidth="1"/>
    <col min="17" max="17" width="22.1640625" customWidth="1"/>
  </cols>
  <sheetData>
    <row r="1" spans="1:17" ht="16" x14ac:dyDescent="0.2">
      <c r="A1" s="73" t="s">
        <v>163</v>
      </c>
      <c r="B1" s="73"/>
      <c r="C1" s="73"/>
      <c r="D1" s="73"/>
      <c r="E1" s="73"/>
      <c r="F1" s="73"/>
      <c r="G1" s="73"/>
      <c r="H1" s="73"/>
      <c r="I1" s="73"/>
      <c r="J1" s="73"/>
      <c r="K1" s="73"/>
      <c r="L1" s="73"/>
      <c r="M1" s="73"/>
      <c r="N1" s="73"/>
      <c r="O1" s="73"/>
      <c r="P1" s="73"/>
      <c r="Q1" s="73"/>
    </row>
    <row r="2" spans="1:17" ht="16" thickBot="1" x14ac:dyDescent="0.25">
      <c r="A2" s="73"/>
      <c r="B2" s="73"/>
      <c r="C2" s="73"/>
      <c r="D2" s="73"/>
      <c r="E2" s="73"/>
      <c r="F2" s="73"/>
      <c r="G2" s="73"/>
      <c r="H2" s="73"/>
      <c r="I2" s="73"/>
      <c r="J2" s="73"/>
      <c r="K2" s="73"/>
      <c r="L2" s="73"/>
      <c r="M2" s="73"/>
      <c r="N2" s="73"/>
      <c r="O2" s="73"/>
      <c r="P2" s="73"/>
      <c r="Q2" s="73"/>
    </row>
    <row r="3" spans="1:17" ht="32" x14ac:dyDescent="0.2">
      <c r="A3" s="73"/>
      <c r="B3" s="93" t="s">
        <v>166</v>
      </c>
      <c r="C3" s="93" t="s">
        <v>167</v>
      </c>
      <c r="D3" s="93" t="s">
        <v>168</v>
      </c>
      <c r="E3" s="93" t="s">
        <v>169</v>
      </c>
      <c r="F3" s="94"/>
      <c r="G3" s="94"/>
      <c r="H3" s="95"/>
      <c r="I3" s="73" t="s">
        <v>170</v>
      </c>
      <c r="J3" s="73"/>
      <c r="K3" s="73"/>
      <c r="L3" s="73"/>
      <c r="M3" s="73"/>
      <c r="N3" s="73"/>
      <c r="O3" s="73"/>
      <c r="P3" s="73"/>
      <c r="Q3" s="73"/>
    </row>
    <row r="4" spans="1:17" x14ac:dyDescent="0.2">
      <c r="A4" s="73"/>
      <c r="B4" s="94">
        <v>4000</v>
      </c>
      <c r="C4" s="94">
        <v>3500</v>
      </c>
      <c r="D4" s="94">
        <v>2800</v>
      </c>
      <c r="E4" s="94">
        <v>2500</v>
      </c>
      <c r="F4" s="94"/>
      <c r="G4" s="94"/>
      <c r="H4" s="95"/>
      <c r="I4" s="73"/>
      <c r="J4" s="73"/>
      <c r="K4" s="73"/>
      <c r="L4" s="73"/>
      <c r="M4" s="73"/>
      <c r="N4" s="73"/>
      <c r="O4" s="73"/>
      <c r="P4" s="73"/>
      <c r="Q4" s="73"/>
    </row>
    <row r="5" spans="1:17" ht="17" thickBot="1" x14ac:dyDescent="0.25">
      <c r="A5" s="73"/>
      <c r="B5" s="94">
        <v>3000</v>
      </c>
      <c r="C5" s="94">
        <v>3800</v>
      </c>
      <c r="D5" s="94">
        <v>2900</v>
      </c>
      <c r="E5" s="94">
        <v>4200</v>
      </c>
      <c r="F5" s="94"/>
      <c r="G5" s="94"/>
      <c r="H5" s="95"/>
      <c r="I5" s="73" t="s">
        <v>171</v>
      </c>
      <c r="J5" s="73"/>
      <c r="K5" s="73"/>
      <c r="L5" s="73"/>
      <c r="M5" s="73"/>
      <c r="N5" s="73"/>
      <c r="O5" s="73"/>
      <c r="P5" s="73"/>
      <c r="Q5" s="73"/>
    </row>
    <row r="6" spans="1:17" ht="16" x14ac:dyDescent="0.2">
      <c r="A6" s="73"/>
      <c r="B6" s="94">
        <v>3200</v>
      </c>
      <c r="C6" s="94">
        <v>3400</v>
      </c>
      <c r="D6" s="94">
        <v>2600</v>
      </c>
      <c r="E6" s="94">
        <v>4100</v>
      </c>
      <c r="F6" s="94"/>
      <c r="G6" s="94"/>
      <c r="H6" s="95"/>
      <c r="I6" s="93" t="s">
        <v>172</v>
      </c>
      <c r="J6" s="93" t="s">
        <v>146</v>
      </c>
      <c r="K6" s="93" t="s">
        <v>145</v>
      </c>
      <c r="L6" s="93" t="s">
        <v>173</v>
      </c>
      <c r="M6" s="93" t="s">
        <v>174</v>
      </c>
      <c r="N6" s="73"/>
      <c r="O6" s="73"/>
      <c r="P6" s="73"/>
      <c r="Q6" s="73"/>
    </row>
    <row r="7" spans="1:17" ht="16" x14ac:dyDescent="0.2">
      <c r="A7" s="73"/>
      <c r="B7" s="94">
        <v>3800</v>
      </c>
      <c r="C7" s="94">
        <v>3300</v>
      </c>
      <c r="D7" s="94">
        <v>4300</v>
      </c>
      <c r="E7" s="94">
        <v>3700</v>
      </c>
      <c r="F7" s="94"/>
      <c r="G7" s="94"/>
      <c r="H7" s="95"/>
      <c r="I7" s="73" t="s">
        <v>166</v>
      </c>
      <c r="J7" s="73">
        <v>30</v>
      </c>
      <c r="K7" s="73">
        <v>109600</v>
      </c>
      <c r="L7" s="73">
        <v>3653.3333333333335</v>
      </c>
      <c r="M7" s="73">
        <v>201195.40229885126</v>
      </c>
      <c r="N7" s="73"/>
      <c r="O7" s="73"/>
      <c r="P7" s="73"/>
      <c r="Q7" s="73"/>
    </row>
    <row r="8" spans="1:17" ht="16" x14ac:dyDescent="0.2">
      <c r="A8" s="73"/>
      <c r="B8" s="94">
        <v>3600</v>
      </c>
      <c r="C8" s="94">
        <v>3500</v>
      </c>
      <c r="D8" s="94">
        <v>3200</v>
      </c>
      <c r="E8" s="94">
        <v>2700</v>
      </c>
      <c r="F8" s="94"/>
      <c r="G8" s="94"/>
      <c r="H8" s="95"/>
      <c r="I8" s="73" t="s">
        <v>167</v>
      </c>
      <c r="J8" s="73">
        <v>26</v>
      </c>
      <c r="K8" s="73">
        <v>90100</v>
      </c>
      <c r="L8" s="73">
        <v>3465.3846153846152</v>
      </c>
      <c r="M8" s="73">
        <v>135953.84615384578</v>
      </c>
      <c r="N8" s="73"/>
      <c r="O8" s="73"/>
      <c r="P8" s="73"/>
      <c r="Q8" s="73"/>
    </row>
    <row r="9" spans="1:17" ht="16" x14ac:dyDescent="0.2">
      <c r="A9" s="73"/>
      <c r="B9" s="94">
        <v>3900</v>
      </c>
      <c r="C9" s="94">
        <v>3700</v>
      </c>
      <c r="D9" s="94">
        <v>3300</v>
      </c>
      <c r="E9" s="94">
        <v>2800</v>
      </c>
      <c r="F9" s="94"/>
      <c r="G9" s="94"/>
      <c r="H9" s="95"/>
      <c r="I9" s="73" t="s">
        <v>168</v>
      </c>
      <c r="J9" s="73">
        <v>23</v>
      </c>
      <c r="K9" s="73">
        <v>73800</v>
      </c>
      <c r="L9" s="73">
        <v>3208.695652173913</v>
      </c>
      <c r="M9" s="73">
        <v>288102.766798419</v>
      </c>
      <c r="N9" s="73"/>
      <c r="O9" s="73"/>
      <c r="P9" s="73"/>
      <c r="Q9" s="73"/>
    </row>
    <row r="10" spans="1:17" ht="17" thickBot="1" x14ac:dyDescent="0.25">
      <c r="A10" s="73"/>
      <c r="B10" s="94">
        <v>3000</v>
      </c>
      <c r="C10" s="94">
        <v>4200</v>
      </c>
      <c r="D10" s="94">
        <v>3600</v>
      </c>
      <c r="E10" s="94">
        <v>3100</v>
      </c>
      <c r="F10" s="94"/>
      <c r="G10" s="94"/>
      <c r="H10" s="95"/>
      <c r="I10" s="96" t="s">
        <v>169</v>
      </c>
      <c r="J10" s="96">
        <v>23</v>
      </c>
      <c r="K10" s="96">
        <v>77800</v>
      </c>
      <c r="L10" s="96">
        <v>3382.608695652174</v>
      </c>
      <c r="M10" s="96">
        <v>282411.06719367614</v>
      </c>
      <c r="N10" s="73"/>
      <c r="O10" s="73"/>
      <c r="P10" s="73"/>
      <c r="Q10" s="73"/>
    </row>
    <row r="11" spans="1:17" x14ac:dyDescent="0.2">
      <c r="A11" s="73"/>
      <c r="B11" s="94">
        <v>3400</v>
      </c>
      <c r="C11" s="94">
        <v>3500</v>
      </c>
      <c r="D11" s="94">
        <v>2000</v>
      </c>
      <c r="E11" s="94">
        <v>3900</v>
      </c>
      <c r="F11" s="94"/>
      <c r="G11" s="94"/>
      <c r="H11" s="95"/>
      <c r="I11" s="73"/>
      <c r="J11" s="73"/>
      <c r="K11" s="73"/>
      <c r="L11" s="73"/>
      <c r="M11" s="73"/>
      <c r="N11" s="73"/>
      <c r="O11" s="73"/>
      <c r="P11" s="73"/>
      <c r="Q11" s="73"/>
    </row>
    <row r="12" spans="1:17" x14ac:dyDescent="0.2">
      <c r="A12" s="73"/>
      <c r="B12" s="94">
        <v>3800</v>
      </c>
      <c r="C12" s="94">
        <v>3800</v>
      </c>
      <c r="D12" s="94">
        <v>3200</v>
      </c>
      <c r="E12" s="94">
        <v>2700</v>
      </c>
      <c r="F12" s="94"/>
      <c r="G12" s="94"/>
      <c r="H12" s="95"/>
      <c r="I12" s="73"/>
      <c r="J12" s="73"/>
      <c r="K12" s="73"/>
      <c r="L12" s="73"/>
      <c r="M12" s="73"/>
      <c r="N12" s="73"/>
      <c r="O12" s="73"/>
      <c r="P12" s="73"/>
      <c r="Q12" s="73"/>
    </row>
    <row r="13" spans="1:17" ht="17" thickBot="1" x14ac:dyDescent="0.25">
      <c r="A13" s="73"/>
      <c r="B13" s="94">
        <v>3100</v>
      </c>
      <c r="C13" s="94">
        <v>3500</v>
      </c>
      <c r="D13" s="94">
        <v>3900</v>
      </c>
      <c r="E13" s="94">
        <v>3600</v>
      </c>
      <c r="F13" s="94"/>
      <c r="G13" s="94"/>
      <c r="H13" s="95"/>
      <c r="I13" s="73" t="s">
        <v>175</v>
      </c>
      <c r="J13" s="73"/>
      <c r="K13" s="73"/>
      <c r="L13" s="73"/>
      <c r="M13" s="73"/>
      <c r="N13" s="73"/>
      <c r="O13" s="73"/>
      <c r="P13" s="73"/>
      <c r="Q13" s="73"/>
    </row>
    <row r="14" spans="1:17" ht="16" x14ac:dyDescent="0.2">
      <c r="A14" s="73"/>
      <c r="B14" s="94">
        <v>4500</v>
      </c>
      <c r="C14" s="94">
        <v>2800</v>
      </c>
      <c r="D14" s="94">
        <v>3400</v>
      </c>
      <c r="E14" s="94">
        <v>3100</v>
      </c>
      <c r="F14" s="94"/>
      <c r="G14" s="94"/>
      <c r="H14" s="95"/>
      <c r="I14" s="93" t="s">
        <v>176</v>
      </c>
      <c r="J14" s="93" t="s">
        <v>177</v>
      </c>
      <c r="K14" s="93" t="s">
        <v>178</v>
      </c>
      <c r="L14" s="93" t="s">
        <v>179</v>
      </c>
      <c r="M14" s="93" t="s">
        <v>180</v>
      </c>
      <c r="N14" s="93" t="s">
        <v>181</v>
      </c>
      <c r="O14" s="93" t="s">
        <v>182</v>
      </c>
      <c r="P14" s="73"/>
      <c r="Q14" s="73"/>
    </row>
    <row r="15" spans="1:17" ht="16" x14ac:dyDescent="0.2">
      <c r="A15" s="73"/>
      <c r="B15" s="94">
        <v>4100</v>
      </c>
      <c r="C15" s="94">
        <v>3800</v>
      </c>
      <c r="D15" s="94">
        <v>3300</v>
      </c>
      <c r="E15" s="94">
        <v>3200</v>
      </c>
      <c r="F15" s="94"/>
      <c r="G15" s="94"/>
      <c r="H15" s="95"/>
      <c r="I15" s="73" t="s">
        <v>183</v>
      </c>
      <c r="J15" s="73">
        <v>2686653.4198963866</v>
      </c>
      <c r="K15" s="73">
        <v>3</v>
      </c>
      <c r="L15" s="106">
        <v>895551.13996546215</v>
      </c>
      <c r="M15" s="106">
        <v>4.0286779107867678</v>
      </c>
      <c r="N15" s="145">
        <v>9.5069995445393653E-3</v>
      </c>
      <c r="O15" s="106">
        <v>2.6974232197581554</v>
      </c>
      <c r="P15" s="73"/>
      <c r="Q15" s="73"/>
    </row>
    <row r="16" spans="1:17" ht="16" x14ac:dyDescent="0.2">
      <c r="A16" s="73"/>
      <c r="B16" s="94">
        <v>3300</v>
      </c>
      <c r="C16" s="94">
        <v>3700</v>
      </c>
      <c r="D16" s="94">
        <v>3600</v>
      </c>
      <c r="E16" s="94">
        <v>4300</v>
      </c>
      <c r="F16" s="94"/>
      <c r="G16" s="94"/>
      <c r="H16" s="95"/>
      <c r="I16" s="73" t="s">
        <v>184</v>
      </c>
      <c r="J16" s="73">
        <v>21784817.168338906</v>
      </c>
      <c r="K16" s="73">
        <v>98</v>
      </c>
      <c r="L16" s="106">
        <v>222294.0527381521</v>
      </c>
      <c r="M16" s="106"/>
      <c r="N16" s="106"/>
      <c r="O16" s="106"/>
      <c r="P16" s="73"/>
      <c r="Q16" s="73"/>
    </row>
    <row r="17" spans="1:17" x14ac:dyDescent="0.2">
      <c r="A17" s="73"/>
      <c r="B17" s="94">
        <v>4300</v>
      </c>
      <c r="C17" s="94">
        <v>2800</v>
      </c>
      <c r="D17" s="94">
        <v>3200</v>
      </c>
      <c r="E17" s="94">
        <v>3400</v>
      </c>
      <c r="F17" s="94"/>
      <c r="G17" s="94"/>
      <c r="H17" s="95"/>
      <c r="I17" s="73"/>
      <c r="J17" s="73"/>
      <c r="K17" s="73"/>
      <c r="L17" s="73"/>
      <c r="M17" s="73"/>
      <c r="N17" s="73"/>
      <c r="O17" s="73"/>
      <c r="P17" s="73"/>
      <c r="Q17" s="73"/>
    </row>
    <row r="18" spans="1:17" ht="17" thickBot="1" x14ac:dyDescent="0.25">
      <c r="A18" s="73"/>
      <c r="B18" s="94">
        <v>4200</v>
      </c>
      <c r="C18" s="94">
        <v>3500</v>
      </c>
      <c r="D18" s="94">
        <v>3100</v>
      </c>
      <c r="E18" s="94">
        <v>4200</v>
      </c>
      <c r="F18" s="94"/>
      <c r="G18" s="94"/>
      <c r="H18" s="95"/>
      <c r="I18" s="96" t="s">
        <v>185</v>
      </c>
      <c r="J18" s="96">
        <v>24471470.588235293</v>
      </c>
      <c r="K18" s="96">
        <v>101</v>
      </c>
      <c r="L18" s="96"/>
      <c r="M18" s="96"/>
      <c r="N18" s="96"/>
      <c r="O18" s="96"/>
      <c r="P18" s="73"/>
      <c r="Q18" s="73"/>
    </row>
    <row r="19" spans="1:17" x14ac:dyDescent="0.2">
      <c r="A19" s="73"/>
      <c r="B19" s="94">
        <v>4000</v>
      </c>
      <c r="C19" s="94">
        <v>3800</v>
      </c>
      <c r="D19" s="94">
        <v>2000</v>
      </c>
      <c r="E19" s="94">
        <v>2800</v>
      </c>
      <c r="F19" s="94"/>
      <c r="G19" s="94"/>
      <c r="H19" s="95"/>
      <c r="I19" s="73"/>
      <c r="J19" s="73"/>
      <c r="K19" s="73"/>
      <c r="L19" s="73"/>
      <c r="M19" s="73"/>
      <c r="N19" s="73"/>
      <c r="O19" s="73"/>
      <c r="P19" s="73"/>
      <c r="Q19" s="73"/>
    </row>
    <row r="20" spans="1:17" x14ac:dyDescent="0.2">
      <c r="A20" s="73"/>
      <c r="B20" s="94">
        <v>3900</v>
      </c>
      <c r="C20" s="94">
        <v>2800</v>
      </c>
      <c r="D20" s="94">
        <v>3300</v>
      </c>
      <c r="E20" s="94">
        <v>3500</v>
      </c>
      <c r="F20" s="94"/>
      <c r="G20" s="94"/>
      <c r="H20" s="95"/>
      <c r="I20" s="73"/>
      <c r="J20" s="73"/>
      <c r="K20" s="73"/>
      <c r="L20" s="73"/>
      <c r="M20" s="73"/>
      <c r="N20" s="73"/>
      <c r="O20" s="73"/>
      <c r="P20" s="73"/>
      <c r="Q20" s="73"/>
    </row>
    <row r="21" spans="1:17" x14ac:dyDescent="0.2">
      <c r="A21" s="73"/>
      <c r="B21" s="94">
        <v>4100</v>
      </c>
      <c r="C21" s="94">
        <v>3800</v>
      </c>
      <c r="D21" s="94">
        <v>3100</v>
      </c>
      <c r="E21" s="94">
        <v>3200</v>
      </c>
      <c r="F21" s="94"/>
      <c r="G21" s="94"/>
      <c r="H21" s="95"/>
      <c r="I21" s="73"/>
      <c r="J21" s="73"/>
      <c r="K21" s="73"/>
      <c r="L21" s="73"/>
      <c r="M21" s="73"/>
      <c r="N21" s="73"/>
      <c r="O21" s="73"/>
      <c r="P21" s="73"/>
      <c r="Q21" s="73"/>
    </row>
    <row r="22" spans="1:17" ht="28" x14ac:dyDescent="0.2">
      <c r="A22" s="73"/>
      <c r="B22" s="94">
        <v>4500</v>
      </c>
      <c r="C22" s="94">
        <v>3000</v>
      </c>
      <c r="D22" s="94">
        <v>3900</v>
      </c>
      <c r="E22" s="94">
        <v>2900</v>
      </c>
      <c r="F22" s="94"/>
      <c r="G22" s="94"/>
      <c r="H22" s="95"/>
      <c r="I22" s="97" t="s">
        <v>186</v>
      </c>
      <c r="J22" s="73"/>
      <c r="K22" s="73"/>
      <c r="L22" s="73"/>
      <c r="M22" s="73"/>
      <c r="N22" s="73"/>
      <c r="O22" s="73"/>
      <c r="P22" s="73"/>
      <c r="Q22" s="73"/>
    </row>
    <row r="23" spans="1:17" x14ac:dyDescent="0.2">
      <c r="A23" s="73"/>
      <c r="B23" s="94">
        <v>3500</v>
      </c>
      <c r="C23" s="94">
        <v>3800</v>
      </c>
      <c r="D23" s="94">
        <v>3100</v>
      </c>
      <c r="E23" s="94">
        <v>3700</v>
      </c>
      <c r="F23" s="94"/>
      <c r="G23" s="94"/>
      <c r="H23" s="95"/>
      <c r="I23" s="73"/>
      <c r="J23" s="73"/>
      <c r="K23" s="73"/>
      <c r="L23" s="73"/>
      <c r="M23" s="73"/>
      <c r="N23" s="73"/>
      <c r="O23" s="73"/>
      <c r="P23" s="73"/>
      <c r="Q23" s="73"/>
    </row>
    <row r="24" spans="1:17" ht="16" x14ac:dyDescent="0.2">
      <c r="A24" s="73"/>
      <c r="B24" s="94">
        <v>3200</v>
      </c>
      <c r="C24" s="94">
        <v>3300</v>
      </c>
      <c r="D24" s="94">
        <v>3600</v>
      </c>
      <c r="E24" s="94">
        <v>3300</v>
      </c>
      <c r="F24" s="94"/>
      <c r="G24" s="94"/>
      <c r="H24" s="95"/>
      <c r="I24" s="98"/>
      <c r="J24" s="98" t="s">
        <v>187</v>
      </c>
      <c r="K24" s="99" t="s">
        <v>187</v>
      </c>
      <c r="L24" s="97"/>
      <c r="M24" s="73"/>
      <c r="N24" s="87" t="s">
        <v>188</v>
      </c>
      <c r="O24" s="87" t="s">
        <v>189</v>
      </c>
      <c r="P24" s="87" t="s">
        <v>190</v>
      </c>
      <c r="Q24" s="73"/>
    </row>
    <row r="25" spans="1:17" ht="16" x14ac:dyDescent="0.2">
      <c r="A25" s="73"/>
      <c r="B25" s="94">
        <v>3500</v>
      </c>
      <c r="C25" s="94">
        <v>3800</v>
      </c>
      <c r="D25" s="94">
        <v>3400</v>
      </c>
      <c r="E25" s="94">
        <v>3200</v>
      </c>
      <c r="F25" s="94"/>
      <c r="G25" s="94"/>
      <c r="H25" s="95"/>
      <c r="I25" s="100" t="s">
        <v>191</v>
      </c>
      <c r="J25" s="100" t="s">
        <v>134</v>
      </c>
      <c r="K25" s="101" t="s">
        <v>192</v>
      </c>
      <c r="L25" s="97"/>
      <c r="M25" s="97" t="s">
        <v>193</v>
      </c>
      <c r="N25" s="87" t="s">
        <v>194</v>
      </c>
      <c r="O25" s="87" t="s">
        <v>195</v>
      </c>
      <c r="P25" s="87" t="s">
        <v>142</v>
      </c>
      <c r="Q25" s="97" t="str">
        <f>IF(J36="","Results are NOT valid until Q Statistic is entered into B15","Results")</f>
        <v>Results</v>
      </c>
    </row>
    <row r="26" spans="1:17" x14ac:dyDescent="0.2">
      <c r="A26" s="73"/>
      <c r="B26" s="94">
        <v>3700</v>
      </c>
      <c r="C26" s="94">
        <v>3200</v>
      </c>
      <c r="D26" s="94">
        <v>3000</v>
      </c>
      <c r="E26" s="94">
        <v>3700</v>
      </c>
      <c r="F26" s="94"/>
      <c r="G26" s="73"/>
      <c r="H26" s="73"/>
      <c r="I26" s="102" t="str">
        <f>B3</f>
        <v>Couple with children</v>
      </c>
      <c r="J26" s="144">
        <f>B37</f>
        <v>3653.3333333333335</v>
      </c>
      <c r="K26" s="103">
        <f>J7</f>
        <v>30</v>
      </c>
      <c r="L26" s="73"/>
      <c r="M26" s="97" t="s">
        <v>196</v>
      </c>
      <c r="N26" s="108">
        <f>ABS($J$26-J27)</f>
        <v>187.94871794871369</v>
      </c>
      <c r="O26" s="108">
        <f>SQRT(($J$35/2)*((1/$K$26)+(1/K27)))</f>
        <v>89.329650780404648</v>
      </c>
      <c r="P26" s="108">
        <f>$J$36*O26</f>
        <v>329.62641137969314</v>
      </c>
      <c r="Q26" s="97" t="str">
        <f>IF(N26&gt;P26,"Means are different","Means are not different")</f>
        <v>Means are not different</v>
      </c>
    </row>
    <row r="27" spans="1:17" x14ac:dyDescent="0.2">
      <c r="A27" s="73"/>
      <c r="B27" s="94">
        <v>3400</v>
      </c>
      <c r="C27" s="94">
        <v>3100</v>
      </c>
      <c r="D27" s="73"/>
      <c r="E27" s="73"/>
      <c r="F27" s="94"/>
      <c r="G27" s="73"/>
      <c r="H27" s="73"/>
      <c r="I27" s="102" t="str">
        <f>C3</f>
        <v>Couple with no children</v>
      </c>
      <c r="J27" s="144">
        <f>C37</f>
        <v>3465.3846153846198</v>
      </c>
      <c r="K27" s="103">
        <f t="shared" ref="K27:K29" si="0">J8</f>
        <v>26</v>
      </c>
      <c r="L27" s="73"/>
      <c r="M27" s="97" t="s">
        <v>197</v>
      </c>
      <c r="N27" s="108">
        <f t="shared" ref="N27:N28" si="1">ABS($J$26-J28)</f>
        <v>444.63768115942048</v>
      </c>
      <c r="O27" s="108">
        <f t="shared" ref="O27" si="2">SQRT(($J$35/2)*((1/$K$26)+(1/K28)))</f>
        <v>92.397945249449847</v>
      </c>
      <c r="P27" s="108">
        <f>$J$36*O27</f>
        <v>340.9484179704699</v>
      </c>
      <c r="Q27" s="97" t="str">
        <f t="shared" ref="Q27:Q31" si="3">IF(N27&gt;P27,"Means are different","Means are not different")</f>
        <v>Means are different</v>
      </c>
    </row>
    <row r="28" spans="1:17" x14ac:dyDescent="0.2">
      <c r="A28" s="73"/>
      <c r="B28" s="94">
        <v>3700</v>
      </c>
      <c r="C28" s="94">
        <v>3600</v>
      </c>
      <c r="D28" s="73"/>
      <c r="E28" s="73"/>
      <c r="F28" s="94"/>
      <c r="G28" s="73"/>
      <c r="H28" s="73"/>
      <c r="I28" s="102" t="str">
        <f>D3</f>
        <v>Single parent</v>
      </c>
      <c r="J28" s="144">
        <f>D37</f>
        <v>3208.695652173913</v>
      </c>
      <c r="K28" s="103">
        <f t="shared" si="0"/>
        <v>23</v>
      </c>
      <c r="L28" s="73"/>
      <c r="M28" s="97" t="s">
        <v>198</v>
      </c>
      <c r="N28" s="108">
        <f t="shared" si="1"/>
        <v>270.72463768115949</v>
      </c>
      <c r="O28" s="108">
        <f>SQRT(($J$35/2)*((1/$K$26)+(1/K29)))</f>
        <v>92.397945249449847</v>
      </c>
      <c r="P28" s="108">
        <f t="shared" ref="P28:P31" si="4">$J$36*O28</f>
        <v>340.9484179704699</v>
      </c>
      <c r="Q28" s="97" t="str">
        <f t="shared" si="3"/>
        <v>Means are not different</v>
      </c>
    </row>
    <row r="29" spans="1:17" x14ac:dyDescent="0.2">
      <c r="A29" s="73"/>
      <c r="B29" s="94">
        <v>3500</v>
      </c>
      <c r="C29" s="94">
        <v>3100</v>
      </c>
      <c r="D29" s="73"/>
      <c r="E29" s="73"/>
      <c r="F29" s="73"/>
      <c r="G29" s="73"/>
      <c r="H29" s="73"/>
      <c r="I29" s="102" t="str">
        <f>E3</f>
        <v>Single person</v>
      </c>
      <c r="J29" s="144">
        <f>E37</f>
        <v>3382.608695652174</v>
      </c>
      <c r="K29" s="103">
        <f t="shared" si="0"/>
        <v>23</v>
      </c>
      <c r="L29" s="73"/>
      <c r="M29" s="97" t="s">
        <v>199</v>
      </c>
      <c r="N29" s="108">
        <f>ABS($J$27-J28)</f>
        <v>256.68896321070679</v>
      </c>
      <c r="O29" s="108">
        <f>SQRT(($J$35/2)*((1/$K$27)+(1/K28)))</f>
        <v>95.432515616696278</v>
      </c>
      <c r="P29" s="108">
        <f t="shared" si="4"/>
        <v>352.14598262560924</v>
      </c>
      <c r="Q29" s="97" t="str">
        <f t="shared" si="3"/>
        <v>Means are not different</v>
      </c>
    </row>
    <row r="30" spans="1:17" x14ac:dyDescent="0.2">
      <c r="A30" s="73"/>
      <c r="B30" s="94">
        <v>3300</v>
      </c>
      <c r="C30" s="73"/>
      <c r="D30" s="73"/>
      <c r="E30" s="73"/>
      <c r="F30" s="73"/>
      <c r="G30" s="73"/>
      <c r="H30" s="73"/>
      <c r="I30" s="73"/>
      <c r="J30" s="73"/>
      <c r="K30" s="73"/>
      <c r="L30" s="73"/>
      <c r="M30" s="97" t="s">
        <v>200</v>
      </c>
      <c r="N30" s="108">
        <f>ABS($J$27-J29)</f>
        <v>82.7759197324458</v>
      </c>
      <c r="O30" s="108">
        <f>SQRT(($J$35/2)*((1/$K$27)+(1/K29)))</f>
        <v>95.432515616696278</v>
      </c>
      <c r="P30" s="108">
        <f t="shared" si="4"/>
        <v>352.14598262560924</v>
      </c>
      <c r="Q30" s="97" t="str">
        <f t="shared" si="3"/>
        <v>Means are not different</v>
      </c>
    </row>
    <row r="31" spans="1:17" x14ac:dyDescent="0.2">
      <c r="A31" s="73"/>
      <c r="B31" s="94">
        <v>3900</v>
      </c>
      <c r="C31" s="73"/>
      <c r="D31" s="73"/>
      <c r="E31" s="73"/>
      <c r="F31" s="73"/>
      <c r="G31" s="73"/>
      <c r="H31" s="73"/>
      <c r="I31" s="228" t="s">
        <v>201</v>
      </c>
      <c r="J31" s="228"/>
      <c r="K31" s="73"/>
      <c r="L31" s="73"/>
      <c r="M31" s="97" t="s">
        <v>202</v>
      </c>
      <c r="N31" s="108">
        <f>ABS(J28-J29)</f>
        <v>173.91304347826099</v>
      </c>
      <c r="O31" s="108">
        <f>SQRT(($J$35/2)*((1/K28)+(1/K29)))</f>
        <v>98.310522400718952</v>
      </c>
      <c r="P31" s="108">
        <f t="shared" si="4"/>
        <v>362.76582765865294</v>
      </c>
      <c r="Q31" s="97" t="str">
        <f t="shared" si="3"/>
        <v>Means are not different</v>
      </c>
    </row>
    <row r="32" spans="1:17" ht="16" x14ac:dyDescent="0.2">
      <c r="A32" s="73"/>
      <c r="B32" s="94">
        <v>2800</v>
      </c>
      <c r="C32" s="73"/>
      <c r="D32" s="73"/>
      <c r="E32" s="73"/>
      <c r="F32" s="73"/>
      <c r="G32" s="73"/>
      <c r="H32" s="73"/>
      <c r="I32" s="86" t="s">
        <v>116</v>
      </c>
      <c r="J32" s="86">
        <v>0.05</v>
      </c>
      <c r="K32" s="73"/>
      <c r="L32" s="73"/>
      <c r="M32" s="73"/>
      <c r="N32" s="73"/>
      <c r="O32" s="73"/>
      <c r="P32" s="73"/>
      <c r="Q32" s="73"/>
    </row>
    <row r="33" spans="1:17" ht="16" x14ac:dyDescent="0.2">
      <c r="A33" s="73"/>
      <c r="B33" s="94">
        <v>3400</v>
      </c>
      <c r="C33" s="73"/>
      <c r="D33" s="73"/>
      <c r="E33" s="73"/>
      <c r="F33" s="73"/>
      <c r="G33" s="73"/>
      <c r="H33" s="73"/>
      <c r="I33" s="86" t="s">
        <v>203</v>
      </c>
      <c r="J33" s="86">
        <v>4</v>
      </c>
      <c r="K33" s="73"/>
      <c r="L33" s="73"/>
      <c r="M33" s="73"/>
      <c r="N33" s="73"/>
      <c r="O33" s="73"/>
      <c r="P33" s="73"/>
      <c r="Q33" s="73"/>
    </row>
    <row r="34" spans="1:17" ht="17" thickBot="1" x14ac:dyDescent="0.25">
      <c r="A34" s="73"/>
      <c r="B34" s="73"/>
      <c r="C34" s="73"/>
      <c r="D34" s="73"/>
      <c r="E34" s="73"/>
      <c r="F34" s="73"/>
      <c r="G34" s="73"/>
      <c r="H34" s="73"/>
      <c r="I34" s="103" t="s">
        <v>204</v>
      </c>
      <c r="J34" s="103">
        <f>K16</f>
        <v>98</v>
      </c>
      <c r="K34" s="73"/>
      <c r="L34" s="73"/>
      <c r="M34" s="73"/>
      <c r="N34" s="73"/>
      <c r="O34" s="73"/>
      <c r="P34" s="73"/>
      <c r="Q34" s="73"/>
    </row>
    <row r="35" spans="1:17" ht="32" x14ac:dyDescent="0.2">
      <c r="A35" s="93"/>
      <c r="B35" s="93" t="s">
        <v>166</v>
      </c>
      <c r="C35" s="93" t="s">
        <v>167</v>
      </c>
      <c r="D35" s="93" t="s">
        <v>168</v>
      </c>
      <c r="E35" s="93" t="s">
        <v>169</v>
      </c>
      <c r="F35" s="73"/>
      <c r="G35" s="73"/>
      <c r="H35" s="73"/>
      <c r="I35" s="103" t="s">
        <v>205</v>
      </c>
      <c r="J35" s="103">
        <f>L16</f>
        <v>222294.0527381521</v>
      </c>
      <c r="K35" s="73"/>
      <c r="L35" s="73"/>
      <c r="M35" s="73"/>
      <c r="N35" s="107"/>
      <c r="O35" s="107"/>
      <c r="P35" s="107"/>
      <c r="Q35" s="73"/>
    </row>
    <row r="36" spans="1:17" ht="16" x14ac:dyDescent="0.2">
      <c r="A36" s="73"/>
      <c r="B36" s="73"/>
      <c r="C36" s="73"/>
      <c r="D36" s="73"/>
      <c r="E36" s="94"/>
      <c r="F36" s="73"/>
      <c r="G36" s="73"/>
      <c r="H36" s="73"/>
      <c r="I36" s="104" t="s">
        <v>206</v>
      </c>
      <c r="J36" s="104">
        <v>3.69</v>
      </c>
      <c r="K36" s="73"/>
      <c r="L36" s="73"/>
      <c r="M36" s="73"/>
      <c r="N36" s="107"/>
      <c r="O36" s="107"/>
      <c r="P36" s="107"/>
      <c r="Q36" s="73"/>
    </row>
    <row r="37" spans="1:17" ht="16" x14ac:dyDescent="0.2">
      <c r="A37" s="73" t="s">
        <v>134</v>
      </c>
      <c r="B37" s="107">
        <v>3653.3333333333335</v>
      </c>
      <c r="C37" s="107">
        <v>3465.3846153846198</v>
      </c>
      <c r="D37" s="107">
        <v>3208.695652173913</v>
      </c>
      <c r="E37" s="107">
        <v>3382.608695652174</v>
      </c>
      <c r="F37" s="73"/>
      <c r="G37" s="73"/>
      <c r="H37" s="73"/>
      <c r="I37" s="73"/>
      <c r="J37" s="73"/>
      <c r="K37" s="73"/>
      <c r="L37" s="73"/>
      <c r="M37" s="73"/>
      <c r="N37" s="107"/>
      <c r="O37" s="107"/>
      <c r="P37" s="107"/>
      <c r="Q37" s="73"/>
    </row>
    <row r="38" spans="1:17" ht="32" x14ac:dyDescent="0.2">
      <c r="A38" s="73" t="s">
        <v>135</v>
      </c>
      <c r="B38" s="107">
        <v>81.893305037479763</v>
      </c>
      <c r="C38" s="107">
        <v>72.311783844960033</v>
      </c>
      <c r="D38" s="107">
        <v>111.92053990267014</v>
      </c>
      <c r="E38" s="107">
        <v>110.80948538775444</v>
      </c>
      <c r="F38" s="73"/>
      <c r="G38" s="73"/>
      <c r="H38" s="73"/>
      <c r="I38" s="73"/>
      <c r="J38" s="73"/>
      <c r="K38" s="73"/>
      <c r="L38" s="73"/>
      <c r="M38" s="73"/>
      <c r="N38" s="107"/>
      <c r="O38" s="107"/>
      <c r="P38" s="107"/>
      <c r="Q38" s="73"/>
    </row>
    <row r="39" spans="1:17" ht="16" x14ac:dyDescent="0.2">
      <c r="A39" s="73" t="s">
        <v>136</v>
      </c>
      <c r="B39" s="107">
        <v>3650</v>
      </c>
      <c r="C39" s="107">
        <v>3500</v>
      </c>
      <c r="D39" s="107">
        <v>3200</v>
      </c>
      <c r="E39" s="107">
        <v>3300</v>
      </c>
      <c r="F39" s="73"/>
      <c r="G39" s="73"/>
      <c r="H39" s="73"/>
      <c r="I39" s="73"/>
      <c r="J39" s="73"/>
      <c r="K39" s="73"/>
      <c r="L39" s="73"/>
      <c r="M39" s="73"/>
      <c r="N39" s="107"/>
      <c r="O39" s="107"/>
      <c r="P39" s="107"/>
      <c r="Q39" s="73"/>
    </row>
    <row r="40" spans="1:17" ht="16" x14ac:dyDescent="0.2">
      <c r="A40" s="73" t="s">
        <v>137</v>
      </c>
      <c r="B40" s="107">
        <v>3900</v>
      </c>
      <c r="C40" s="107">
        <v>3800</v>
      </c>
      <c r="D40" s="107">
        <v>3200</v>
      </c>
      <c r="E40" s="107">
        <v>3700</v>
      </c>
      <c r="F40" s="73"/>
      <c r="G40" s="73"/>
      <c r="H40" s="73"/>
      <c r="I40" s="73"/>
      <c r="J40" s="73"/>
      <c r="K40" s="73"/>
      <c r="L40" s="73"/>
      <c r="M40" s="73"/>
      <c r="N40" s="107"/>
      <c r="O40" s="107"/>
      <c r="P40" s="107"/>
      <c r="Q40" s="73"/>
    </row>
    <row r="41" spans="1:17" ht="32" x14ac:dyDescent="0.2">
      <c r="A41" s="73" t="s">
        <v>138</v>
      </c>
      <c r="B41" s="107">
        <v>448.54810477679121</v>
      </c>
      <c r="C41" s="107">
        <v>368.71919688815467</v>
      </c>
      <c r="D41" s="107">
        <v>536.75205337140449</v>
      </c>
      <c r="E41" s="107">
        <v>531.42362310465285</v>
      </c>
      <c r="F41" s="73"/>
      <c r="G41" s="73"/>
      <c r="H41" s="73"/>
      <c r="I41" s="73"/>
      <c r="J41" s="73"/>
      <c r="K41" s="73"/>
      <c r="L41" s="73"/>
      <c r="M41" s="73"/>
      <c r="N41" s="73"/>
      <c r="O41" s="73"/>
      <c r="P41" s="73"/>
      <c r="Q41" s="73"/>
    </row>
    <row r="42" spans="1:17" ht="32" x14ac:dyDescent="0.2">
      <c r="A42" s="73" t="s">
        <v>139</v>
      </c>
      <c r="B42" s="107">
        <v>201195.40229885126</v>
      </c>
      <c r="C42" s="107">
        <v>135953.84615384578</v>
      </c>
      <c r="D42" s="107">
        <v>288102.766798419</v>
      </c>
      <c r="E42" s="107">
        <v>282411.06719367614</v>
      </c>
      <c r="F42" s="73"/>
      <c r="G42" s="73"/>
      <c r="H42" s="73"/>
      <c r="I42" s="73"/>
      <c r="J42" s="73"/>
      <c r="K42" s="73"/>
      <c r="L42" s="73"/>
      <c r="M42" s="73"/>
      <c r="N42" s="73"/>
      <c r="O42" s="73"/>
      <c r="P42" s="73"/>
      <c r="Q42" s="73"/>
    </row>
    <row r="43" spans="1:17" ht="16" x14ac:dyDescent="0.2">
      <c r="A43" s="73" t="s">
        <v>140</v>
      </c>
      <c r="B43" s="107">
        <v>-0.68555378216277818</v>
      </c>
      <c r="C43" s="107">
        <v>-0.47266224134145363</v>
      </c>
      <c r="D43" s="107">
        <v>1.1445867817468747</v>
      </c>
      <c r="E43" s="107">
        <v>-0.97605404844606758</v>
      </c>
      <c r="F43" s="73"/>
      <c r="G43" s="73"/>
      <c r="H43" s="73"/>
      <c r="I43" s="73"/>
      <c r="J43" s="73"/>
      <c r="K43" s="73"/>
      <c r="L43" s="73"/>
      <c r="M43" s="73"/>
      <c r="N43" s="73"/>
      <c r="O43" s="73"/>
      <c r="P43" s="73"/>
      <c r="Q43" s="73"/>
    </row>
    <row r="44" spans="1:17" ht="16" x14ac:dyDescent="0.2">
      <c r="A44" s="73" t="s">
        <v>141</v>
      </c>
      <c r="B44" s="107">
        <v>0.11377063105770453</v>
      </c>
      <c r="C44" s="107">
        <v>-0.36562742594401831</v>
      </c>
      <c r="D44" s="107">
        <v>-0.55094261044371484</v>
      </c>
      <c r="E44" s="107">
        <v>0.1938135536166328</v>
      </c>
      <c r="F44" s="73"/>
      <c r="G44" s="73"/>
      <c r="H44" s="73"/>
      <c r="I44" s="73"/>
      <c r="J44" s="73"/>
      <c r="K44" s="73"/>
      <c r="L44" s="73"/>
      <c r="M44" s="73"/>
      <c r="N44" s="73"/>
      <c r="O44" s="73"/>
      <c r="P44" s="73"/>
      <c r="Q44" s="73"/>
    </row>
    <row r="45" spans="1:17" ht="16" x14ac:dyDescent="0.2">
      <c r="A45" s="73" t="s">
        <v>142</v>
      </c>
      <c r="B45" s="107">
        <v>1700</v>
      </c>
      <c r="C45" s="107">
        <v>1400</v>
      </c>
      <c r="D45" s="107">
        <v>2300</v>
      </c>
      <c r="E45" s="107">
        <v>1800</v>
      </c>
      <c r="F45" s="73"/>
      <c r="G45" s="73"/>
      <c r="H45" s="73"/>
      <c r="I45" s="73"/>
      <c r="J45" s="73"/>
      <c r="K45" s="73"/>
      <c r="L45" s="73"/>
      <c r="M45" s="73"/>
      <c r="N45" s="73"/>
      <c r="O45" s="73"/>
      <c r="P45" s="73"/>
      <c r="Q45" s="73"/>
    </row>
    <row r="46" spans="1:17" ht="16" x14ac:dyDescent="0.2">
      <c r="A46" s="73" t="s">
        <v>143</v>
      </c>
      <c r="B46" s="107">
        <v>2800</v>
      </c>
      <c r="C46" s="107">
        <v>2800</v>
      </c>
      <c r="D46" s="107">
        <v>2000</v>
      </c>
      <c r="E46" s="107">
        <v>2500</v>
      </c>
      <c r="F46" s="73"/>
      <c r="G46" s="73"/>
      <c r="H46" s="73"/>
      <c r="I46" s="73"/>
      <c r="J46" s="73"/>
      <c r="K46" s="73"/>
      <c r="L46" s="73"/>
      <c r="M46" s="73"/>
      <c r="N46" s="73"/>
      <c r="O46" s="73"/>
      <c r="P46" s="73"/>
      <c r="Q46" s="73"/>
    </row>
    <row r="47" spans="1:17" ht="16" x14ac:dyDescent="0.2">
      <c r="A47" s="73" t="s">
        <v>144</v>
      </c>
      <c r="B47" s="107">
        <v>4500</v>
      </c>
      <c r="C47" s="107">
        <v>4200</v>
      </c>
      <c r="D47" s="107">
        <v>4300</v>
      </c>
      <c r="E47" s="107">
        <v>4300</v>
      </c>
      <c r="F47" s="73"/>
      <c r="G47" s="73"/>
      <c r="H47" s="73"/>
      <c r="I47" s="73"/>
      <c r="J47" s="73"/>
      <c r="K47" s="73"/>
      <c r="L47" s="73"/>
      <c r="M47" s="73"/>
      <c r="N47" s="73"/>
      <c r="O47" s="73"/>
      <c r="P47" s="73"/>
      <c r="Q47" s="73"/>
    </row>
    <row r="48" spans="1:17" ht="16" x14ac:dyDescent="0.2">
      <c r="A48" s="73" t="s">
        <v>145</v>
      </c>
      <c r="B48" s="107">
        <v>109600</v>
      </c>
      <c r="C48" s="107">
        <v>90100</v>
      </c>
      <c r="D48" s="107">
        <v>73800</v>
      </c>
      <c r="E48" s="107">
        <v>77800</v>
      </c>
      <c r="F48" s="73"/>
      <c r="G48" s="73"/>
      <c r="H48" s="73"/>
      <c r="I48" s="73"/>
      <c r="J48" s="73"/>
      <c r="K48" s="73"/>
      <c r="L48" s="73"/>
      <c r="M48" s="73"/>
      <c r="N48" s="73"/>
      <c r="O48" s="73"/>
      <c r="P48" s="73"/>
      <c r="Q48" s="73"/>
    </row>
    <row r="49" spans="1:17" ht="17" thickBot="1" x14ac:dyDescent="0.25">
      <c r="A49" s="96" t="s">
        <v>146</v>
      </c>
      <c r="B49" s="146">
        <v>30</v>
      </c>
      <c r="C49" s="146">
        <v>26</v>
      </c>
      <c r="D49" s="146">
        <v>23</v>
      </c>
      <c r="E49" s="146">
        <v>23</v>
      </c>
      <c r="F49" s="73"/>
      <c r="G49" s="73"/>
      <c r="H49" s="73"/>
      <c r="I49" s="73"/>
      <c r="J49" s="73"/>
      <c r="K49" s="73"/>
      <c r="L49" s="73"/>
      <c r="M49" s="73"/>
      <c r="N49" s="73"/>
      <c r="O49" s="73"/>
      <c r="P49" s="73"/>
      <c r="Q49" s="73"/>
    </row>
    <row r="50" spans="1:17" x14ac:dyDescent="0.2">
      <c r="A50" s="73"/>
      <c r="B50" s="107"/>
      <c r="C50" s="107"/>
      <c r="D50" s="107"/>
      <c r="E50" s="107"/>
      <c r="F50" s="73"/>
      <c r="G50" s="73"/>
      <c r="H50" s="73"/>
      <c r="I50" s="73"/>
      <c r="J50" s="73"/>
      <c r="K50" s="73"/>
      <c r="L50" s="73"/>
      <c r="M50" s="73"/>
      <c r="N50" s="73"/>
      <c r="O50" s="73"/>
      <c r="P50" s="73"/>
      <c r="Q50" s="73"/>
    </row>
    <row r="51" spans="1:17" ht="15" customHeight="1" x14ac:dyDescent="0.2">
      <c r="A51" s="232" t="s">
        <v>303</v>
      </c>
      <c r="B51" s="232"/>
      <c r="C51" s="232"/>
      <c r="D51" s="232"/>
      <c r="E51" s="232"/>
      <c r="F51" s="15"/>
      <c r="G51" s="73"/>
      <c r="H51" s="73"/>
      <c r="I51" s="73"/>
      <c r="J51" s="73"/>
      <c r="K51" s="73"/>
      <c r="L51" s="73"/>
      <c r="M51" s="73"/>
      <c r="N51" s="73"/>
      <c r="O51" s="73"/>
      <c r="P51" s="73"/>
      <c r="Q51" s="73"/>
    </row>
    <row r="52" spans="1:17" x14ac:dyDescent="0.2">
      <c r="A52" s="230" t="s">
        <v>304</v>
      </c>
      <c r="B52" s="230"/>
      <c r="C52" s="230"/>
      <c r="D52" s="230"/>
      <c r="E52" s="230"/>
      <c r="G52" s="73"/>
      <c r="H52" s="73"/>
      <c r="I52" s="73"/>
      <c r="J52" s="73"/>
      <c r="K52" s="73"/>
      <c r="L52" s="73"/>
      <c r="M52" s="73"/>
      <c r="N52" s="73"/>
      <c r="O52" s="73"/>
      <c r="P52" s="73"/>
      <c r="Q52" s="73"/>
    </row>
    <row r="53" spans="1:17" x14ac:dyDescent="0.2">
      <c r="A53" s="231" t="s">
        <v>305</v>
      </c>
      <c r="B53" s="231"/>
      <c r="C53" s="231"/>
      <c r="D53" s="231"/>
      <c r="E53" s="231"/>
      <c r="F53" s="67"/>
      <c r="G53" s="73"/>
      <c r="H53" s="73"/>
      <c r="I53" s="73"/>
      <c r="J53" s="73"/>
      <c r="K53" s="73"/>
      <c r="L53" s="73"/>
      <c r="M53" s="73"/>
      <c r="N53" s="73"/>
      <c r="O53" s="73"/>
      <c r="P53" s="73"/>
      <c r="Q53" s="73"/>
    </row>
    <row r="54" spans="1:17" ht="15" customHeight="1" x14ac:dyDescent="0.2">
      <c r="A54" s="232" t="s">
        <v>306</v>
      </c>
      <c r="B54" s="232"/>
      <c r="C54" s="232"/>
      <c r="D54" s="232"/>
      <c r="E54" s="232"/>
      <c r="F54" s="15"/>
      <c r="G54" s="73"/>
      <c r="H54" s="73"/>
      <c r="I54" s="73"/>
      <c r="J54" s="73"/>
      <c r="K54" s="73"/>
      <c r="L54" s="73"/>
      <c r="M54" s="73"/>
      <c r="N54" s="73"/>
      <c r="O54" s="73"/>
      <c r="P54" s="73"/>
      <c r="Q54" s="73"/>
    </row>
    <row r="55" spans="1:17" x14ac:dyDescent="0.2">
      <c r="A55" s="73"/>
      <c r="B55" s="73"/>
      <c r="C55" s="73"/>
      <c r="D55" s="73"/>
      <c r="E55" s="73"/>
      <c r="F55" s="73"/>
      <c r="G55" s="73"/>
      <c r="H55" s="73"/>
      <c r="I55" s="73"/>
      <c r="J55" s="73"/>
      <c r="K55" s="73"/>
      <c r="L55" s="73"/>
      <c r="M55" s="73"/>
      <c r="N55" s="73"/>
      <c r="O55" s="73"/>
      <c r="P55" s="73"/>
      <c r="Q55" s="73"/>
    </row>
    <row r="56" spans="1:17" ht="30" customHeight="1" x14ac:dyDescent="0.2">
      <c r="A56" s="73" t="s">
        <v>227</v>
      </c>
      <c r="B56" s="195" t="s">
        <v>232</v>
      </c>
      <c r="C56" s="195"/>
      <c r="D56" s="195"/>
      <c r="E56" s="195"/>
      <c r="F56" s="73" t="s">
        <v>300</v>
      </c>
      <c r="G56" s="229" t="s">
        <v>301</v>
      </c>
      <c r="H56" s="73"/>
      <c r="I56" s="73"/>
      <c r="J56" s="73"/>
      <c r="K56" s="73"/>
      <c r="L56" s="73"/>
      <c r="M56" s="73"/>
      <c r="N56" s="73"/>
      <c r="O56" s="73"/>
      <c r="P56" s="73"/>
      <c r="Q56" s="73"/>
    </row>
    <row r="57" spans="1:17" ht="32" customHeight="1" x14ac:dyDescent="0.2">
      <c r="A57" s="73" t="s">
        <v>207</v>
      </c>
      <c r="B57" s="195" t="s">
        <v>231</v>
      </c>
      <c r="C57" s="195"/>
      <c r="D57" s="195"/>
      <c r="E57" s="195"/>
      <c r="F57" s="73" t="s">
        <v>302</v>
      </c>
      <c r="G57" s="229"/>
      <c r="H57" s="73"/>
      <c r="I57" s="73"/>
      <c r="J57" s="73"/>
      <c r="K57" s="73"/>
      <c r="L57" s="73"/>
      <c r="M57" s="73"/>
      <c r="N57" s="73"/>
      <c r="O57" s="73"/>
      <c r="P57" s="73"/>
      <c r="Q57" s="73"/>
    </row>
    <row r="58" spans="1:17" ht="60" customHeight="1" x14ac:dyDescent="0.2">
      <c r="A58" s="73" t="s">
        <v>126</v>
      </c>
      <c r="B58" s="195" t="s">
        <v>233</v>
      </c>
      <c r="C58" s="195"/>
      <c r="D58" s="195"/>
      <c r="E58" s="195"/>
      <c r="F58" s="73"/>
      <c r="G58" s="73"/>
      <c r="H58" s="73"/>
      <c r="I58" s="73"/>
      <c r="J58" s="73"/>
      <c r="K58" s="73"/>
      <c r="L58" s="73"/>
      <c r="M58" s="73"/>
      <c r="N58" s="73"/>
      <c r="O58" s="73"/>
      <c r="P58" s="73"/>
      <c r="Q58" s="73"/>
    </row>
  </sheetData>
  <mergeCells count="9">
    <mergeCell ref="I31:J31"/>
    <mergeCell ref="B56:E56"/>
    <mergeCell ref="B57:E57"/>
    <mergeCell ref="B58:E58"/>
    <mergeCell ref="G56:G57"/>
    <mergeCell ref="A52:E52"/>
    <mergeCell ref="A53:E53"/>
    <mergeCell ref="A51:E51"/>
    <mergeCell ref="A54:E5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E1E5E-87D0-3B4B-9FF8-6BDE82AD64BA}">
  <dimension ref="A1:R41"/>
  <sheetViews>
    <sheetView tabSelected="1" topLeftCell="A8" workbookViewId="0">
      <selection activeCell="B4" sqref="B4"/>
    </sheetView>
  </sheetViews>
  <sheetFormatPr baseColWidth="10" defaultRowHeight="15" x14ac:dyDescent="0.2"/>
  <cols>
    <col min="1" max="1" width="27.1640625" customWidth="1"/>
    <col min="2" max="2" width="28.6640625" customWidth="1"/>
    <col min="3" max="4" width="11.1640625" bestFit="1" customWidth="1"/>
    <col min="5" max="5" width="7.6640625" bestFit="1" customWidth="1"/>
    <col min="6" max="6" width="10.1640625" customWidth="1"/>
    <col min="7" max="7" width="10.33203125" bestFit="1" customWidth="1"/>
    <col min="8" max="8" width="12.33203125" customWidth="1"/>
    <col min="9" max="9" width="10.5" bestFit="1" customWidth="1"/>
    <col min="10" max="13" width="7.1640625" bestFit="1" customWidth="1"/>
  </cols>
  <sheetData>
    <row r="1" spans="1:18" s="19" customFormat="1" x14ac:dyDescent="0.2">
      <c r="A1" s="16" t="s">
        <v>237</v>
      </c>
      <c r="B1" s="16" t="s">
        <v>225</v>
      </c>
      <c r="C1"/>
      <c r="D1"/>
      <c r="E1"/>
      <c r="F1"/>
      <c r="G1"/>
      <c r="H1"/>
      <c r="I1"/>
      <c r="J1"/>
      <c r="K1"/>
      <c r="L1"/>
      <c r="M1"/>
      <c r="N1"/>
    </row>
    <row r="2" spans="1:18" s="19" customFormat="1" x14ac:dyDescent="0.2">
      <c r="A2" s="16" t="s">
        <v>164</v>
      </c>
      <c r="B2" t="s">
        <v>12</v>
      </c>
      <c r="C2" t="s">
        <v>21</v>
      </c>
      <c r="D2" t="s">
        <v>29</v>
      </c>
      <c r="E2" t="s">
        <v>24</v>
      </c>
      <c r="F2" t="s">
        <v>17</v>
      </c>
      <c r="G2" t="s">
        <v>165</v>
      </c>
      <c r="H2"/>
      <c r="I2"/>
      <c r="J2"/>
      <c r="K2"/>
      <c r="L2"/>
      <c r="M2"/>
      <c r="N2"/>
    </row>
    <row r="3" spans="1:18" s="19" customFormat="1" x14ac:dyDescent="0.2">
      <c r="A3" s="17" t="s">
        <v>235</v>
      </c>
      <c r="B3">
        <v>4</v>
      </c>
      <c r="C3">
        <v>2</v>
      </c>
      <c r="D3">
        <v>6</v>
      </c>
      <c r="E3">
        <v>4</v>
      </c>
      <c r="F3">
        <v>4</v>
      </c>
      <c r="G3">
        <v>20</v>
      </c>
      <c r="H3"/>
      <c r="I3"/>
      <c r="J3"/>
      <c r="K3"/>
      <c r="L3"/>
      <c r="M3"/>
      <c r="N3"/>
    </row>
    <row r="4" spans="1:18" s="19" customFormat="1" x14ac:dyDescent="0.2">
      <c r="A4" s="17" t="s">
        <v>236</v>
      </c>
      <c r="B4">
        <v>13</v>
      </c>
      <c r="C4">
        <v>16</v>
      </c>
      <c r="D4">
        <v>24</v>
      </c>
      <c r="E4">
        <v>13</v>
      </c>
      <c r="F4">
        <v>16</v>
      </c>
      <c r="G4">
        <v>82</v>
      </c>
      <c r="H4"/>
      <c r="I4"/>
      <c r="J4"/>
      <c r="K4"/>
      <c r="L4"/>
      <c r="M4"/>
      <c r="N4"/>
    </row>
    <row r="5" spans="1:18" s="19" customFormat="1" x14ac:dyDescent="0.2">
      <c r="A5" s="17" t="s">
        <v>165</v>
      </c>
      <c r="B5">
        <v>17</v>
      </c>
      <c r="C5">
        <v>18</v>
      </c>
      <c r="D5">
        <v>30</v>
      </c>
      <c r="E5">
        <v>17</v>
      </c>
      <c r="F5">
        <v>20</v>
      </c>
      <c r="G5">
        <v>102</v>
      </c>
    </row>
    <row r="6" spans="1:18" s="19" customFormat="1" x14ac:dyDescent="0.2">
      <c r="A6" s="17"/>
      <c r="B6"/>
      <c r="C6"/>
      <c r="D6"/>
    </row>
    <row r="7" spans="1:18" s="19" customFormat="1" x14ac:dyDescent="0.2">
      <c r="A7" s="17"/>
      <c r="B7"/>
      <c r="C7"/>
      <c r="D7"/>
    </row>
    <row r="8" spans="1:18" s="19" customFormat="1" x14ac:dyDescent="0.2">
      <c r="A8" s="49" t="s">
        <v>238</v>
      </c>
      <c r="B8" s="50"/>
      <c r="C8" s="49"/>
      <c r="D8" s="49"/>
      <c r="E8" s="49"/>
      <c r="F8" s="49"/>
      <c r="G8" s="49"/>
      <c r="H8" s="49"/>
      <c r="I8" s="49"/>
      <c r="J8" s="49"/>
      <c r="K8" s="49"/>
      <c r="L8" s="49"/>
      <c r="M8" s="49"/>
      <c r="N8" s="49"/>
      <c r="O8" s="49"/>
      <c r="P8" s="49"/>
      <c r="Q8" s="49"/>
      <c r="R8" s="49"/>
    </row>
    <row r="9" spans="1:18" s="19" customFormat="1" x14ac:dyDescent="0.2">
      <c r="A9" s="49"/>
      <c r="B9" s="49"/>
      <c r="C9" s="49"/>
      <c r="D9" s="49"/>
      <c r="E9" s="49"/>
      <c r="F9" s="49"/>
      <c r="G9" s="49"/>
      <c r="H9" s="49"/>
      <c r="I9" s="49"/>
      <c r="J9" s="49"/>
      <c r="K9" s="49"/>
      <c r="L9" s="49"/>
      <c r="M9" s="49"/>
      <c r="N9" s="49"/>
      <c r="O9" s="49"/>
      <c r="P9" s="49"/>
      <c r="Q9" s="49"/>
      <c r="R9" s="49"/>
    </row>
    <row r="10" spans="1:18" s="19" customFormat="1" x14ac:dyDescent="0.2">
      <c r="A10" s="236" t="s">
        <v>239</v>
      </c>
      <c r="B10" s="236"/>
      <c r="C10" s="236"/>
      <c r="D10" s="236"/>
      <c r="E10" s="236"/>
      <c r="F10" s="236"/>
      <c r="G10" s="236"/>
      <c r="H10" s="49"/>
      <c r="I10" s="49"/>
      <c r="J10" s="49"/>
      <c r="K10" s="49"/>
      <c r="L10" s="49"/>
      <c r="M10" s="49"/>
      <c r="R10" s="49"/>
    </row>
    <row r="11" spans="1:18" s="19" customFormat="1" x14ac:dyDescent="0.2">
      <c r="A11" s="51"/>
      <c r="B11" s="237" t="s">
        <v>253</v>
      </c>
      <c r="C11" s="238"/>
      <c r="D11" s="238"/>
      <c r="E11" s="238"/>
      <c r="F11" s="239"/>
      <c r="G11" s="52"/>
      <c r="H11" s="49"/>
      <c r="I11" s="49" t="s">
        <v>240</v>
      </c>
      <c r="J11" s="49"/>
      <c r="K11" s="49"/>
      <c r="L11" s="49"/>
      <c r="M11" s="49"/>
      <c r="O11"/>
      <c r="P11"/>
      <c r="Q11"/>
      <c r="R11" s="49"/>
    </row>
    <row r="12" spans="1:18" s="19" customFormat="1" x14ac:dyDescent="0.2">
      <c r="A12" s="53" t="s">
        <v>106</v>
      </c>
      <c r="B12" s="53" t="s">
        <v>12</v>
      </c>
      <c r="C12" s="53" t="s">
        <v>21</v>
      </c>
      <c r="D12" s="53" t="s">
        <v>29</v>
      </c>
      <c r="E12" s="53" t="s">
        <v>24</v>
      </c>
      <c r="F12" s="53" t="s">
        <v>17</v>
      </c>
      <c r="G12" s="54" t="s">
        <v>185</v>
      </c>
      <c r="H12" s="49"/>
      <c r="I12" s="240" t="s">
        <v>241</v>
      </c>
      <c r="J12" s="240"/>
      <c r="K12" s="240"/>
      <c r="L12" s="240"/>
      <c r="M12" s="240"/>
      <c r="O12"/>
      <c r="P12"/>
      <c r="Q12"/>
      <c r="R12" s="49"/>
    </row>
    <row r="13" spans="1:18" s="19" customFormat="1" x14ac:dyDescent="0.2">
      <c r="A13" s="55" t="s">
        <v>235</v>
      </c>
      <c r="B13" s="56">
        <v>4</v>
      </c>
      <c r="C13" s="56">
        <v>2</v>
      </c>
      <c r="D13" s="56">
        <v>6</v>
      </c>
      <c r="E13" s="56">
        <v>4</v>
      </c>
      <c r="F13" s="56">
        <v>4</v>
      </c>
      <c r="G13" s="51">
        <f>SUM(B13:F13)</f>
        <v>20</v>
      </c>
      <c r="H13" s="49"/>
      <c r="I13" s="50">
        <f>B13 - B20</f>
        <v>0.66666666666666652</v>
      </c>
      <c r="J13" s="50">
        <f>C13 - C20</f>
        <v>-1.5294117647058822</v>
      </c>
      <c r="K13" s="50">
        <f t="shared" ref="I13:M14" si="0">D13 - D20</f>
        <v>0.11764705882352899</v>
      </c>
      <c r="L13" s="50">
        <f t="shared" si="0"/>
        <v>0.66666666666666652</v>
      </c>
      <c r="M13" s="50">
        <f t="shared" si="0"/>
        <v>7.8431372549019773E-2</v>
      </c>
      <c r="R13" s="49"/>
    </row>
    <row r="14" spans="1:18" s="19" customFormat="1" x14ac:dyDescent="0.2">
      <c r="A14" s="55" t="s">
        <v>236</v>
      </c>
      <c r="B14" s="56">
        <v>13</v>
      </c>
      <c r="C14" s="56">
        <v>16</v>
      </c>
      <c r="D14" s="56">
        <v>24</v>
      </c>
      <c r="E14" s="56">
        <v>13</v>
      </c>
      <c r="F14" s="56">
        <v>16</v>
      </c>
      <c r="G14" s="51">
        <f>SUM(B14:F14)</f>
        <v>82</v>
      </c>
      <c r="H14" s="49"/>
      <c r="I14" s="50">
        <f t="shared" si="0"/>
        <v>-0.66666666666666607</v>
      </c>
      <c r="J14" s="50">
        <f t="shared" si="0"/>
        <v>1.5294117647058822</v>
      </c>
      <c r="K14" s="50">
        <f t="shared" si="0"/>
        <v>-0.11764705882352899</v>
      </c>
      <c r="L14" s="50">
        <f t="shared" si="0"/>
        <v>-0.66666666666666607</v>
      </c>
      <c r="M14" s="50">
        <f t="shared" si="0"/>
        <v>-7.8431372549019329E-2</v>
      </c>
      <c r="O14"/>
      <c r="P14"/>
      <c r="Q14"/>
      <c r="R14" s="49"/>
    </row>
    <row r="15" spans="1:18" s="19" customFormat="1" x14ac:dyDescent="0.2">
      <c r="A15" s="57" t="s">
        <v>185</v>
      </c>
      <c r="B15" s="51">
        <f>SUM(B13:B14)</f>
        <v>17</v>
      </c>
      <c r="C15" s="51">
        <f>SUM(C13:C14)</f>
        <v>18</v>
      </c>
      <c r="D15" s="51">
        <f>SUM(D13:D14)</f>
        <v>30</v>
      </c>
      <c r="E15" s="51">
        <f>SUM(E13:E14)</f>
        <v>17</v>
      </c>
      <c r="F15" s="51">
        <f>SUM(F13:F14)</f>
        <v>20</v>
      </c>
      <c r="G15" s="51">
        <f>SUM(B15:F15)</f>
        <v>102</v>
      </c>
      <c r="H15" s="49"/>
      <c r="I15" s="49"/>
      <c r="J15" s="49"/>
      <c r="K15" s="49"/>
      <c r="L15" s="49"/>
      <c r="M15" s="49"/>
      <c r="O15"/>
      <c r="P15"/>
      <c r="Q15"/>
      <c r="R15" s="49"/>
    </row>
    <row r="16" spans="1:18" s="19" customFormat="1" x14ac:dyDescent="0.2">
      <c r="A16" s="49"/>
      <c r="B16" s="49" t="s">
        <v>284</v>
      </c>
      <c r="C16" s="49"/>
      <c r="D16" s="49"/>
      <c r="E16" s="49"/>
      <c r="F16" s="49"/>
      <c r="G16" s="49"/>
      <c r="H16" s="49"/>
      <c r="I16" s="49"/>
      <c r="J16" s="49"/>
      <c r="K16" s="49"/>
      <c r="L16" s="49"/>
      <c r="M16" s="49"/>
      <c r="R16" s="49"/>
    </row>
    <row r="17" spans="1:18" s="19" customFormat="1" x14ac:dyDescent="0.2">
      <c r="A17" s="241" t="s">
        <v>242</v>
      </c>
      <c r="B17" s="241"/>
      <c r="C17" s="241"/>
      <c r="D17" s="241"/>
      <c r="E17" s="241"/>
      <c r="F17" s="241"/>
      <c r="G17" s="241"/>
      <c r="H17" s="49"/>
      <c r="I17" s="49"/>
      <c r="J17" s="49"/>
      <c r="K17" s="49"/>
      <c r="L17" s="49"/>
      <c r="M17" s="49"/>
      <c r="O17"/>
      <c r="P17"/>
      <c r="Q17"/>
      <c r="R17" s="49"/>
    </row>
    <row r="18" spans="1:18" s="19" customFormat="1" x14ac:dyDescent="0.2">
      <c r="A18" s="51"/>
      <c r="B18" s="242" t="str">
        <f>B11</f>
        <v>Reason to buy the EV</v>
      </c>
      <c r="C18" s="243"/>
      <c r="D18" s="243"/>
      <c r="E18" s="243"/>
      <c r="F18" s="244"/>
      <c r="G18" s="51"/>
      <c r="H18" s="49"/>
      <c r="I18" s="49"/>
      <c r="J18" s="49"/>
      <c r="K18" s="49"/>
      <c r="L18" s="49"/>
      <c r="M18" s="49"/>
      <c r="O18"/>
      <c r="P18"/>
      <c r="Q18"/>
      <c r="R18" s="49"/>
    </row>
    <row r="19" spans="1:18" s="19" customFormat="1" x14ac:dyDescent="0.2">
      <c r="A19" s="54" t="str">
        <f>A12</f>
        <v>Number of times charging at home per week</v>
      </c>
      <c r="B19" s="54" t="str">
        <f>B12</f>
        <v>Economic</v>
      </c>
      <c r="C19" s="54" t="str">
        <f>C12</f>
        <v>Environment</v>
      </c>
      <c r="D19" s="54" t="str">
        <f>D12</f>
        <v>Fuel Security</v>
      </c>
      <c r="E19" s="54" t="str">
        <f>E12</f>
        <v>Health</v>
      </c>
      <c r="F19" s="54" t="str">
        <f>F12</f>
        <v>Technology</v>
      </c>
      <c r="G19" s="54" t="s">
        <v>185</v>
      </c>
      <c r="H19" s="49"/>
      <c r="I19" s="240" t="s">
        <v>243</v>
      </c>
      <c r="J19" s="240"/>
      <c r="K19" s="240"/>
      <c r="L19" s="240"/>
      <c r="M19" s="240"/>
      <c r="R19" s="49"/>
    </row>
    <row r="20" spans="1:18" s="19" customFormat="1" x14ac:dyDescent="0.2">
      <c r="A20" s="57" t="str">
        <f>A13</f>
        <v>Less than 5 times per week</v>
      </c>
      <c r="B20" s="58">
        <f>$G13 * B15/$G$15</f>
        <v>3.3333333333333335</v>
      </c>
      <c r="C20" s="58">
        <f>$G13 * C15/$G$15</f>
        <v>3.5294117647058822</v>
      </c>
      <c r="D20" s="58">
        <f t="shared" ref="D20:F20" si="1">$G13 * D15/$G$15</f>
        <v>5.882352941176471</v>
      </c>
      <c r="E20" s="58">
        <f t="shared" si="1"/>
        <v>3.3333333333333335</v>
      </c>
      <c r="F20" s="58">
        <f t="shared" si="1"/>
        <v>3.9215686274509802</v>
      </c>
      <c r="G20" s="58">
        <f>SUM(B20:F20)</f>
        <v>20</v>
      </c>
      <c r="H20" s="49"/>
      <c r="I20" s="50">
        <f>I13^2/B20</f>
        <v>0.13333333333333328</v>
      </c>
      <c r="J20" s="50">
        <f>J13^2/C20</f>
        <v>0.66274509803921566</v>
      </c>
      <c r="K20" s="50">
        <f t="shared" ref="I20:M21" si="2">K13^2/D20</f>
        <v>2.3529411764705711E-3</v>
      </c>
      <c r="L20" s="50">
        <f t="shared" si="2"/>
        <v>0.13333333333333328</v>
      </c>
      <c r="M20" s="50">
        <f t="shared" si="2"/>
        <v>1.5686274509803988E-3</v>
      </c>
      <c r="O20"/>
      <c r="P20"/>
      <c r="Q20"/>
      <c r="R20" s="49"/>
    </row>
    <row r="21" spans="1:18" s="19" customFormat="1" x14ac:dyDescent="0.2">
      <c r="A21" s="57" t="str">
        <f>A14</f>
        <v>More than 5 times per week</v>
      </c>
      <c r="B21" s="58">
        <f>$G14 * B15/$G$15</f>
        <v>13.666666666666666</v>
      </c>
      <c r="C21" s="58">
        <f t="shared" ref="C21:F21" si="3">$G14 * C15/$G$15</f>
        <v>14.470588235294118</v>
      </c>
      <c r="D21" s="58">
        <f t="shared" si="3"/>
        <v>24.117647058823529</v>
      </c>
      <c r="E21" s="58">
        <f t="shared" si="3"/>
        <v>13.666666666666666</v>
      </c>
      <c r="F21" s="58">
        <f t="shared" si="3"/>
        <v>16.078431372549019</v>
      </c>
      <c r="G21" s="58">
        <f>SUM(B21:F21)</f>
        <v>82</v>
      </c>
      <c r="H21" s="49"/>
      <c r="I21" s="50">
        <f t="shared" si="2"/>
        <v>3.2520325203251974E-2</v>
      </c>
      <c r="J21" s="50">
        <f t="shared" si="2"/>
        <v>0.16164514586322332</v>
      </c>
      <c r="K21" s="50">
        <f t="shared" si="2"/>
        <v>5.7388809182209067E-4</v>
      </c>
      <c r="L21" s="50">
        <f t="shared" si="2"/>
        <v>3.2520325203251974E-2</v>
      </c>
      <c r="M21" s="50">
        <f t="shared" si="2"/>
        <v>3.8259206121472704E-4</v>
      </c>
      <c r="O21"/>
      <c r="P21"/>
      <c r="Q21"/>
      <c r="R21" s="49"/>
    </row>
    <row r="22" spans="1:18" s="19" customFormat="1" x14ac:dyDescent="0.2">
      <c r="A22" s="57" t="s">
        <v>185</v>
      </c>
      <c r="B22" s="58">
        <f>SUM(B20:B21)</f>
        <v>17</v>
      </c>
      <c r="C22" s="58">
        <f t="shared" ref="C22:F22" si="4">SUM(C20:C21)</f>
        <v>18</v>
      </c>
      <c r="D22" s="58">
        <f t="shared" si="4"/>
        <v>30</v>
      </c>
      <c r="E22" s="58">
        <f t="shared" si="4"/>
        <v>17</v>
      </c>
      <c r="F22" s="58">
        <f t="shared" si="4"/>
        <v>20</v>
      </c>
      <c r="G22" s="58">
        <f>SUM(B22:F22)</f>
        <v>102</v>
      </c>
      <c r="H22" s="49"/>
      <c r="I22" s="49"/>
      <c r="J22" s="49"/>
      <c r="K22" s="49"/>
      <c r="L22" s="49"/>
      <c r="M22" s="49"/>
      <c r="R22" s="49"/>
    </row>
    <row r="23" spans="1:18" s="19" customFormat="1" x14ac:dyDescent="0.2">
      <c r="A23" s="49"/>
      <c r="B23" s="49"/>
      <c r="C23" s="49"/>
      <c r="D23" s="49"/>
      <c r="E23" s="49"/>
      <c r="F23" s="49"/>
      <c r="G23" s="49"/>
      <c r="H23" s="49"/>
      <c r="I23" s="49"/>
      <c r="J23" s="49"/>
      <c r="K23" s="49"/>
      <c r="L23" s="49"/>
      <c r="M23" s="49"/>
      <c r="O23"/>
      <c r="P23"/>
      <c r="Q23"/>
      <c r="R23" s="49"/>
    </row>
    <row r="24" spans="1:18" s="19" customFormat="1" x14ac:dyDescent="0.2">
      <c r="A24" s="245" t="s">
        <v>244</v>
      </c>
      <c r="B24" s="245"/>
      <c r="C24" s="49"/>
      <c r="D24" s="49"/>
      <c r="E24" s="49"/>
      <c r="F24" s="49"/>
      <c r="G24" s="49"/>
      <c r="H24" s="49"/>
      <c r="I24" s="49"/>
      <c r="J24" s="49"/>
      <c r="K24" s="49"/>
      <c r="L24" s="49"/>
      <c r="M24" s="49"/>
      <c r="O24"/>
      <c r="P24"/>
      <c r="Q24"/>
      <c r="R24" s="49"/>
    </row>
    <row r="25" spans="1:18" s="19" customFormat="1" x14ac:dyDescent="0.2">
      <c r="A25" s="59" t="s">
        <v>245</v>
      </c>
      <c r="B25" s="56">
        <v>0.05</v>
      </c>
      <c r="C25" s="49"/>
      <c r="E25" s="49"/>
      <c r="F25" s="49"/>
      <c r="G25" s="49"/>
      <c r="H25" s="49"/>
      <c r="I25" s="49"/>
      <c r="J25" s="49"/>
      <c r="K25" s="49"/>
      <c r="L25" s="49"/>
      <c r="M25" s="49"/>
      <c r="R25" s="49"/>
    </row>
    <row r="26" spans="1:18" s="19" customFormat="1" x14ac:dyDescent="0.2">
      <c r="A26" s="60" t="s">
        <v>246</v>
      </c>
      <c r="B26" s="60">
        <v>2</v>
      </c>
      <c r="C26" s="49"/>
      <c r="D26" s="49"/>
      <c r="E26" s="49"/>
      <c r="G26" s="49"/>
      <c r="H26" s="49"/>
      <c r="I26" s="49"/>
      <c r="J26" s="49"/>
      <c r="K26" s="49"/>
      <c r="L26" s="49"/>
      <c r="M26" s="49"/>
      <c r="O26"/>
      <c r="P26"/>
      <c r="Q26"/>
      <c r="R26" s="49"/>
    </row>
    <row r="27" spans="1:18" s="19" customFormat="1" x14ac:dyDescent="0.2">
      <c r="A27" s="60" t="s">
        <v>247</v>
      </c>
      <c r="B27" s="60">
        <v>5</v>
      </c>
      <c r="C27" s="49"/>
      <c r="D27" s="49"/>
      <c r="E27" s="49"/>
      <c r="F27" s="49"/>
      <c r="G27" s="49"/>
      <c r="H27" s="49"/>
      <c r="I27" s="49"/>
      <c r="J27" s="49"/>
      <c r="K27" s="49"/>
      <c r="L27" s="49"/>
      <c r="M27" s="49"/>
      <c r="O27"/>
      <c r="P27"/>
      <c r="Q27"/>
      <c r="R27" s="49"/>
    </row>
    <row r="28" spans="1:18" s="19" customFormat="1" x14ac:dyDescent="0.2">
      <c r="A28" s="60" t="s">
        <v>119</v>
      </c>
      <c r="B28" s="60">
        <f>(B26 - 1) * (B27 - 1)</f>
        <v>4</v>
      </c>
      <c r="C28" s="49"/>
      <c r="D28" s="49"/>
      <c r="E28" s="49"/>
      <c r="F28" s="49"/>
      <c r="G28" s="49"/>
      <c r="H28" s="49"/>
      <c r="I28" s="49"/>
      <c r="J28" s="49"/>
      <c r="K28" s="49"/>
      <c r="L28" s="49"/>
      <c r="M28" s="49"/>
      <c r="R28" s="49"/>
    </row>
    <row r="29" spans="1:18" s="19" customFormat="1" x14ac:dyDescent="0.2">
      <c r="A29" s="49"/>
      <c r="B29" s="49"/>
      <c r="C29" s="49"/>
      <c r="D29" s="49"/>
      <c r="E29" s="49"/>
      <c r="F29" s="49"/>
      <c r="G29" s="49"/>
      <c r="H29" s="49"/>
      <c r="I29" s="49"/>
      <c r="J29" s="49"/>
      <c r="K29" s="49"/>
      <c r="L29" s="49"/>
      <c r="M29" s="49"/>
      <c r="O29"/>
      <c r="P29"/>
      <c r="Q29"/>
      <c r="R29" s="49"/>
    </row>
    <row r="30" spans="1:18" s="19" customFormat="1" x14ac:dyDescent="0.2">
      <c r="A30" s="233" t="s">
        <v>248</v>
      </c>
      <c r="B30" s="233"/>
      <c r="C30" s="49"/>
      <c r="D30" s="49"/>
      <c r="E30" s="49"/>
      <c r="F30" s="49"/>
      <c r="G30" s="49"/>
      <c r="H30" s="49"/>
      <c r="I30" s="49"/>
      <c r="J30" s="49"/>
      <c r="K30" s="49"/>
      <c r="L30" s="49"/>
      <c r="M30" s="49"/>
      <c r="O30"/>
      <c r="P30"/>
      <c r="Q30"/>
      <c r="R30" s="49"/>
    </row>
    <row r="31" spans="1:18" s="19" customFormat="1" x14ac:dyDescent="0.2">
      <c r="A31" s="61" t="s">
        <v>249</v>
      </c>
      <c r="B31" s="62">
        <f>CHIINV(B25, B28)</f>
        <v>9.4877290367811575</v>
      </c>
      <c r="C31" s="49"/>
      <c r="D31" s="49"/>
      <c r="E31" s="49"/>
      <c r="F31" s="49"/>
      <c r="G31" s="49"/>
      <c r="H31" s="49"/>
      <c r="I31" s="49"/>
      <c r="J31" s="49"/>
      <c r="K31" s="49"/>
      <c r="L31" s="49"/>
      <c r="M31" s="49"/>
      <c r="R31" s="49"/>
    </row>
    <row r="32" spans="1:18" s="19" customFormat="1" x14ac:dyDescent="0.2">
      <c r="A32" s="61" t="s">
        <v>250</v>
      </c>
      <c r="B32" s="62">
        <f>SUM(I20:M21)</f>
        <v>1.1609756097560975</v>
      </c>
      <c r="C32" s="49"/>
      <c r="D32" s="49"/>
      <c r="E32" s="49"/>
      <c r="F32" s="49"/>
      <c r="G32" s="49"/>
      <c r="H32" s="49"/>
      <c r="I32" s="49"/>
      <c r="J32" s="49"/>
      <c r="K32" s="49"/>
      <c r="L32" s="49"/>
      <c r="M32" s="49"/>
      <c r="O32"/>
      <c r="P32"/>
      <c r="Q32"/>
      <c r="R32" s="49"/>
    </row>
    <row r="33" spans="1:18" s="19" customFormat="1" x14ac:dyDescent="0.2">
      <c r="A33" s="63" t="s">
        <v>251</v>
      </c>
      <c r="B33" s="62">
        <f>CHIDIST(B32, B28)</f>
        <v>0.88448098094088357</v>
      </c>
      <c r="C33" s="49"/>
      <c r="D33" s="49"/>
      <c r="E33" s="49"/>
      <c r="F33" s="49"/>
      <c r="G33" s="49"/>
      <c r="H33" s="49"/>
      <c r="I33" s="49"/>
      <c r="J33" s="49"/>
      <c r="K33" s="49"/>
      <c r="L33" s="49"/>
      <c r="M33" s="49"/>
      <c r="O33"/>
      <c r="P33"/>
      <c r="Q33"/>
      <c r="R33" s="49"/>
    </row>
    <row r="34" spans="1:18" s="19" customFormat="1" x14ac:dyDescent="0.2">
      <c r="A34" s="234" t="str">
        <f>IF(B33&lt;B25, "Reject the null hypothesis", "Do not reject the null hypothesis")</f>
        <v>Do not reject the null hypothesis</v>
      </c>
      <c r="B34" s="235"/>
      <c r="C34" s="49"/>
      <c r="D34" s="49"/>
      <c r="E34" s="49"/>
      <c r="F34" s="49"/>
      <c r="G34" s="49"/>
      <c r="H34" s="49"/>
      <c r="I34" s="49"/>
      <c r="J34" s="49"/>
      <c r="K34" s="49"/>
      <c r="L34" s="49"/>
      <c r="M34" s="49"/>
      <c r="R34" s="49"/>
    </row>
    <row r="35" spans="1:18" s="19" customFormat="1" x14ac:dyDescent="0.2">
      <c r="A35" s="49"/>
      <c r="B35" s="49"/>
      <c r="C35" s="49"/>
      <c r="D35" s="49"/>
      <c r="E35" s="49"/>
      <c r="F35" s="49"/>
      <c r="G35" s="49"/>
      <c r="H35" s="49"/>
      <c r="I35" s="49"/>
      <c r="J35" s="49"/>
      <c r="K35" s="49"/>
      <c r="L35" s="49"/>
      <c r="M35" s="49"/>
      <c r="O35"/>
      <c r="P35"/>
      <c r="Q35"/>
    </row>
    <row r="36" spans="1:18" s="19" customFormat="1" x14ac:dyDescent="0.2">
      <c r="A36" s="64" t="s">
        <v>252</v>
      </c>
      <c r="B36" s="49"/>
      <c r="C36" s="49"/>
      <c r="D36" s="49"/>
      <c r="E36" s="49"/>
      <c r="F36" s="49"/>
      <c r="G36" s="49"/>
      <c r="H36" s="49"/>
      <c r="I36" s="49"/>
      <c r="J36" s="49"/>
      <c r="K36" s="49"/>
      <c r="L36" s="49"/>
      <c r="M36" s="49"/>
    </row>
    <row r="37" spans="1:18" s="19" customFormat="1" x14ac:dyDescent="0.2">
      <c r="A37" s="64" t="str">
        <f>IF(OR(B20&lt;1, C20&lt;1, D20&lt;1, E20&lt;1, F20&lt;1, B21&lt;1, C21&lt;1, D21&lt;1, E21&lt;1, F21&lt;1), "       is violated.", "       is met.")</f>
        <v xml:space="preserve">       is met.</v>
      </c>
      <c r="B37" s="49"/>
      <c r="C37" s="49"/>
      <c r="D37" s="49"/>
      <c r="E37" s="49"/>
      <c r="F37" s="49"/>
      <c r="G37" s="49"/>
      <c r="H37" s="49"/>
      <c r="I37" s="49"/>
      <c r="J37" s="49"/>
      <c r="K37" s="49"/>
      <c r="L37" s="49"/>
      <c r="M37" s="49"/>
    </row>
    <row r="38" spans="1:18" s="19" customFormat="1" x14ac:dyDescent="0.2">
      <c r="A38" s="64"/>
      <c r="B38" s="49"/>
      <c r="C38" s="49"/>
      <c r="D38" s="49"/>
      <c r="E38" s="49"/>
      <c r="F38" s="49"/>
      <c r="G38" s="49"/>
      <c r="H38" s="49"/>
      <c r="I38" s="49"/>
      <c r="J38" s="49"/>
      <c r="K38" s="49"/>
      <c r="L38" s="49"/>
      <c r="M38" s="49"/>
    </row>
    <row r="39" spans="1:18" s="19" customFormat="1" ht="52" customHeight="1" x14ac:dyDescent="0.2">
      <c r="A39" s="15" t="s">
        <v>227</v>
      </c>
      <c r="B39" s="195" t="s">
        <v>256</v>
      </c>
      <c r="C39" s="195"/>
      <c r="D39" s="195"/>
      <c r="E39" s="195"/>
      <c r="F39" s="15" t="s">
        <v>307</v>
      </c>
      <c r="G39" s="229" t="s">
        <v>309</v>
      </c>
      <c r="H39" s="229"/>
      <c r="I39" s="229"/>
    </row>
    <row r="40" spans="1:18" s="19" customFormat="1" ht="32" customHeight="1" x14ac:dyDescent="0.2">
      <c r="A40" s="15" t="s">
        <v>207</v>
      </c>
      <c r="B40" s="195" t="s">
        <v>255</v>
      </c>
      <c r="C40" s="195"/>
      <c r="D40" s="195"/>
      <c r="E40" s="195"/>
      <c r="F40" s="19" t="s">
        <v>308</v>
      </c>
      <c r="G40" s="229"/>
      <c r="H40" s="229"/>
      <c r="I40" s="229"/>
    </row>
    <row r="41" spans="1:18" s="19" customFormat="1" ht="56" customHeight="1" x14ac:dyDescent="0.2">
      <c r="A41" s="15" t="s">
        <v>126</v>
      </c>
      <c r="B41" s="195" t="s">
        <v>257</v>
      </c>
      <c r="C41" s="195"/>
      <c r="D41" s="195"/>
      <c r="E41" s="195"/>
    </row>
  </sheetData>
  <mergeCells count="13">
    <mergeCell ref="A10:G10"/>
    <mergeCell ref="B11:F11"/>
    <mergeCell ref="B39:E39"/>
    <mergeCell ref="I12:M12"/>
    <mergeCell ref="A17:G17"/>
    <mergeCell ref="B18:F18"/>
    <mergeCell ref="I19:M19"/>
    <mergeCell ref="A24:B24"/>
    <mergeCell ref="B40:E40"/>
    <mergeCell ref="B41:E41"/>
    <mergeCell ref="G39:I40"/>
    <mergeCell ref="A30:B30"/>
    <mergeCell ref="A34:B3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46CF7-9517-D44A-91D5-249C8F8A0D14}">
  <dimension ref="A1:M43"/>
  <sheetViews>
    <sheetView topLeftCell="A25" zoomScale="118" zoomScaleNormal="84" workbookViewId="0">
      <selection activeCell="B40" sqref="B40:D40"/>
    </sheetView>
  </sheetViews>
  <sheetFormatPr baseColWidth="10" defaultRowHeight="15" x14ac:dyDescent="0.2"/>
  <cols>
    <col min="1" max="1" width="24.1640625" customWidth="1"/>
    <col min="2" max="2" width="18.83203125" customWidth="1"/>
    <col min="3" max="3" width="11.1640625" bestFit="1" customWidth="1"/>
    <col min="4" max="4" width="13.5" customWidth="1"/>
    <col min="5" max="5" width="11.1640625" bestFit="1" customWidth="1"/>
    <col min="6" max="6" width="11.1640625" customWidth="1"/>
    <col min="7" max="7" width="27" customWidth="1"/>
    <col min="8" max="9" width="12.6640625" bestFit="1" customWidth="1"/>
    <col min="10" max="10" width="11.6640625" bestFit="1" customWidth="1"/>
    <col min="11" max="13" width="12.6640625" bestFit="1" customWidth="1"/>
  </cols>
  <sheetData>
    <row r="1" spans="1:13" ht="16" x14ac:dyDescent="0.2">
      <c r="A1" s="15" t="s">
        <v>254</v>
      </c>
      <c r="B1" s="15"/>
      <c r="C1" s="15"/>
      <c r="D1" s="15"/>
      <c r="E1" s="15"/>
      <c r="F1" s="15"/>
      <c r="G1" s="15"/>
      <c r="H1" s="15"/>
      <c r="I1" s="15"/>
      <c r="J1" s="15"/>
      <c r="K1" s="15"/>
      <c r="L1" s="15"/>
      <c r="M1" s="15"/>
    </row>
    <row r="2" spans="1:13" x14ac:dyDescent="0.2">
      <c r="A2" s="15"/>
      <c r="B2" s="15"/>
      <c r="C2" s="15"/>
      <c r="D2" s="15"/>
      <c r="E2" s="15"/>
      <c r="F2" s="15"/>
      <c r="G2" s="15"/>
      <c r="H2" s="15"/>
      <c r="I2" s="15"/>
      <c r="J2" s="15"/>
      <c r="K2" s="15"/>
      <c r="L2" s="15"/>
      <c r="M2" s="15"/>
    </row>
    <row r="3" spans="1:13" ht="32" x14ac:dyDescent="0.2">
      <c r="A3" s="15" t="s">
        <v>2</v>
      </c>
      <c r="B3" s="15" t="s">
        <v>11</v>
      </c>
      <c r="C3" s="15" t="s">
        <v>28</v>
      </c>
      <c r="D3" s="15" t="s">
        <v>30</v>
      </c>
      <c r="E3" s="15"/>
      <c r="F3" s="15"/>
      <c r="G3" s="15" t="s">
        <v>208</v>
      </c>
      <c r="H3" s="15"/>
      <c r="I3" s="15"/>
      <c r="J3" s="15"/>
      <c r="K3" s="15"/>
      <c r="L3" s="15"/>
      <c r="M3" s="15"/>
    </row>
    <row r="4" spans="1:13" ht="16" x14ac:dyDescent="0.2">
      <c r="A4" s="15" t="s">
        <v>9</v>
      </c>
      <c r="B4" s="90">
        <v>10000</v>
      </c>
      <c r="C4" s="90">
        <v>10000</v>
      </c>
      <c r="D4" s="90">
        <v>15000</v>
      </c>
      <c r="E4" s="15"/>
      <c r="F4" s="15"/>
      <c r="G4" s="15"/>
      <c r="H4" s="15"/>
      <c r="I4" s="15"/>
      <c r="J4" s="15"/>
      <c r="K4" s="15"/>
      <c r="L4" s="15"/>
      <c r="M4" s="15"/>
    </row>
    <row r="5" spans="1:13" ht="16" x14ac:dyDescent="0.2">
      <c r="A5" s="15"/>
      <c r="B5" s="90">
        <v>14000</v>
      </c>
      <c r="C5" s="90">
        <v>10000</v>
      </c>
      <c r="D5" s="90">
        <v>16000</v>
      </c>
      <c r="E5" s="15"/>
      <c r="F5" s="15"/>
      <c r="G5" s="15" t="s">
        <v>171</v>
      </c>
      <c r="H5" s="15" t="s">
        <v>11</v>
      </c>
      <c r="I5" s="15" t="s">
        <v>28</v>
      </c>
      <c r="J5" s="15" t="s">
        <v>30</v>
      </c>
      <c r="K5" s="15" t="s">
        <v>185</v>
      </c>
      <c r="L5" s="15"/>
      <c r="M5" s="15"/>
    </row>
    <row r="6" spans="1:13" ht="16" thickBot="1" x14ac:dyDescent="0.25">
      <c r="A6" s="15"/>
      <c r="B6" s="90">
        <v>11000</v>
      </c>
      <c r="C6" s="90">
        <v>11000</v>
      </c>
      <c r="D6" s="90">
        <v>10000</v>
      </c>
      <c r="E6" s="15"/>
      <c r="F6" s="15"/>
      <c r="G6" s="109" t="s">
        <v>9</v>
      </c>
      <c r="H6" s="109"/>
      <c r="I6" s="109"/>
      <c r="J6" s="109"/>
      <c r="K6" s="109"/>
      <c r="L6" s="15"/>
      <c r="M6" s="15"/>
    </row>
    <row r="7" spans="1:13" ht="16" x14ac:dyDescent="0.2">
      <c r="A7" s="15"/>
      <c r="B7" s="90">
        <v>9000</v>
      </c>
      <c r="C7" s="90">
        <v>12000</v>
      </c>
      <c r="D7" s="90">
        <v>10000</v>
      </c>
      <c r="E7" s="15"/>
      <c r="F7" s="15"/>
      <c r="G7" s="15" t="s">
        <v>146</v>
      </c>
      <c r="H7" s="15">
        <v>5</v>
      </c>
      <c r="I7" s="15">
        <v>5</v>
      </c>
      <c r="J7" s="15">
        <v>5</v>
      </c>
      <c r="K7" s="15">
        <v>15</v>
      </c>
      <c r="L7" s="15"/>
      <c r="M7" s="15"/>
    </row>
    <row r="8" spans="1:13" ht="16" x14ac:dyDescent="0.2">
      <c r="A8" s="15"/>
      <c r="B8" s="90">
        <v>13000</v>
      </c>
      <c r="C8" s="90">
        <v>12000</v>
      </c>
      <c r="D8" s="90">
        <v>14000</v>
      </c>
      <c r="E8" s="15"/>
      <c r="F8" s="15"/>
      <c r="G8" s="15" t="s">
        <v>145</v>
      </c>
      <c r="H8" s="15">
        <v>57000</v>
      </c>
      <c r="I8" s="15">
        <v>55000</v>
      </c>
      <c r="J8" s="15">
        <v>65000</v>
      </c>
      <c r="K8" s="15">
        <v>177000</v>
      </c>
      <c r="L8" s="15"/>
      <c r="M8" s="15"/>
    </row>
    <row r="9" spans="1:13" ht="16" x14ac:dyDescent="0.2">
      <c r="A9" s="15" t="s">
        <v>15</v>
      </c>
      <c r="B9" s="90">
        <v>8000</v>
      </c>
      <c r="C9" s="90">
        <v>9000</v>
      </c>
      <c r="D9" s="90">
        <v>10000</v>
      </c>
      <c r="E9" s="15"/>
      <c r="F9" s="15"/>
      <c r="G9" s="15" t="s">
        <v>173</v>
      </c>
      <c r="H9" s="15">
        <v>11400</v>
      </c>
      <c r="I9" s="15">
        <v>11000</v>
      </c>
      <c r="J9" s="15">
        <v>13000</v>
      </c>
      <c r="K9" s="15">
        <v>11800</v>
      </c>
      <c r="L9" s="15"/>
      <c r="M9" s="15"/>
    </row>
    <row r="10" spans="1:13" ht="16" x14ac:dyDescent="0.2">
      <c r="A10" s="15"/>
      <c r="B10" s="90">
        <v>10000</v>
      </c>
      <c r="C10" s="90">
        <v>15000</v>
      </c>
      <c r="D10" s="90">
        <v>11000</v>
      </c>
      <c r="E10" s="15"/>
      <c r="F10" s="15"/>
      <c r="G10" s="15" t="s">
        <v>174</v>
      </c>
      <c r="H10" s="15">
        <v>4300000</v>
      </c>
      <c r="I10" s="15">
        <v>1000000</v>
      </c>
      <c r="J10" s="15">
        <v>8000000</v>
      </c>
      <c r="K10" s="15">
        <v>4600000</v>
      </c>
      <c r="L10" s="15"/>
      <c r="M10" s="15"/>
    </row>
    <row r="11" spans="1:13" x14ac:dyDescent="0.2">
      <c r="A11" s="15"/>
      <c r="B11" s="90">
        <v>14000</v>
      </c>
      <c r="C11" s="90">
        <v>12000</v>
      </c>
      <c r="D11" s="90">
        <v>9000</v>
      </c>
      <c r="E11" s="15"/>
      <c r="F11" s="15"/>
      <c r="G11" s="15"/>
      <c r="H11" s="15"/>
      <c r="I11" s="15"/>
      <c r="J11" s="15"/>
      <c r="K11" s="15"/>
      <c r="L11" s="15"/>
      <c r="M11" s="15"/>
    </row>
    <row r="12" spans="1:13" ht="16" thickBot="1" x14ac:dyDescent="0.25">
      <c r="A12" s="15"/>
      <c r="B12" s="90">
        <v>13000</v>
      </c>
      <c r="C12" s="90">
        <v>15000</v>
      </c>
      <c r="D12" s="90">
        <v>11000</v>
      </c>
      <c r="E12" s="15"/>
      <c r="F12" s="15"/>
      <c r="G12" s="109" t="s">
        <v>15</v>
      </c>
      <c r="H12" s="109"/>
      <c r="I12" s="109"/>
      <c r="J12" s="109"/>
      <c r="K12" s="109"/>
      <c r="L12" s="15"/>
      <c r="M12" s="15"/>
    </row>
    <row r="13" spans="1:13" ht="16" x14ac:dyDescent="0.2">
      <c r="A13" s="15"/>
      <c r="B13" s="90">
        <v>12000</v>
      </c>
      <c r="C13" s="90">
        <v>16000</v>
      </c>
      <c r="D13" s="90">
        <v>9000</v>
      </c>
      <c r="E13" s="15"/>
      <c r="F13" s="15"/>
      <c r="G13" s="15" t="s">
        <v>146</v>
      </c>
      <c r="H13" s="15">
        <v>5</v>
      </c>
      <c r="I13" s="15">
        <v>5</v>
      </c>
      <c r="J13" s="15">
        <v>5</v>
      </c>
      <c r="K13" s="15">
        <v>15</v>
      </c>
      <c r="L13" s="15"/>
      <c r="M13" s="15"/>
    </row>
    <row r="14" spans="1:13" ht="16" x14ac:dyDescent="0.2">
      <c r="A14" s="15"/>
      <c r="B14" s="15"/>
      <c r="C14" s="15"/>
      <c r="D14" s="15"/>
      <c r="E14" s="15"/>
      <c r="F14" s="15"/>
      <c r="G14" s="15" t="s">
        <v>145</v>
      </c>
      <c r="H14" s="15">
        <v>57000</v>
      </c>
      <c r="I14" s="15">
        <v>67000</v>
      </c>
      <c r="J14" s="15">
        <v>50000</v>
      </c>
      <c r="K14" s="15">
        <v>174000</v>
      </c>
      <c r="L14" s="15"/>
      <c r="M14" s="15"/>
    </row>
    <row r="15" spans="1:13" ht="16" x14ac:dyDescent="0.2">
      <c r="A15" s="15"/>
      <c r="B15" s="15" t="s">
        <v>11</v>
      </c>
      <c r="C15" s="15" t="s">
        <v>28</v>
      </c>
      <c r="D15" s="15" t="s">
        <v>30</v>
      </c>
      <c r="E15" s="15" t="s">
        <v>185</v>
      </c>
      <c r="F15" s="15"/>
      <c r="G15" s="15" t="s">
        <v>173</v>
      </c>
      <c r="H15" s="15">
        <v>11400</v>
      </c>
      <c r="I15" s="15">
        <v>13400</v>
      </c>
      <c r="J15" s="15">
        <v>10000</v>
      </c>
      <c r="K15" s="15">
        <v>11600</v>
      </c>
      <c r="L15" s="15"/>
      <c r="M15" s="15"/>
    </row>
    <row r="16" spans="1:13" ht="16" x14ac:dyDescent="0.2">
      <c r="A16" s="15" t="s">
        <v>9</v>
      </c>
      <c r="B16" s="15">
        <v>11400</v>
      </c>
      <c r="C16" s="15">
        <v>11000</v>
      </c>
      <c r="D16" s="15">
        <v>13000</v>
      </c>
      <c r="E16" s="15">
        <v>11800</v>
      </c>
      <c r="F16" s="15"/>
      <c r="G16" s="15" t="s">
        <v>174</v>
      </c>
      <c r="H16" s="15">
        <v>5800000</v>
      </c>
      <c r="I16" s="15">
        <v>8300000</v>
      </c>
      <c r="J16" s="15">
        <v>1000000</v>
      </c>
      <c r="K16" s="15">
        <v>6400000</v>
      </c>
      <c r="L16" s="15"/>
      <c r="M16" s="15"/>
    </row>
    <row r="17" spans="1:13" ht="16" x14ac:dyDescent="0.2">
      <c r="A17" s="15" t="s">
        <v>15</v>
      </c>
      <c r="B17" s="15">
        <v>11400</v>
      </c>
      <c r="C17" s="15">
        <v>13400</v>
      </c>
      <c r="D17" s="15">
        <v>10000</v>
      </c>
      <c r="E17" s="15">
        <v>11600</v>
      </c>
      <c r="F17" s="15"/>
      <c r="G17" s="15"/>
      <c r="H17" s="15"/>
      <c r="I17" s="15"/>
      <c r="J17" s="15"/>
      <c r="K17" s="15"/>
      <c r="L17" s="15"/>
      <c r="M17" s="15"/>
    </row>
    <row r="18" spans="1:13" ht="17" thickBot="1" x14ac:dyDescent="0.25">
      <c r="A18" s="15" t="s">
        <v>185</v>
      </c>
      <c r="B18" s="15">
        <v>11400</v>
      </c>
      <c r="C18" s="15">
        <v>12200</v>
      </c>
      <c r="D18" s="15">
        <v>11500</v>
      </c>
      <c r="E18" s="15"/>
      <c r="F18" s="15"/>
      <c r="G18" s="109" t="s">
        <v>185</v>
      </c>
      <c r="H18" s="109"/>
      <c r="I18" s="109"/>
      <c r="J18" s="109"/>
      <c r="K18" s="15"/>
      <c r="L18" s="15"/>
      <c r="M18" s="15"/>
    </row>
    <row r="19" spans="1:13" ht="16" x14ac:dyDescent="0.2">
      <c r="A19" s="15"/>
      <c r="B19" s="15"/>
      <c r="C19" s="15"/>
      <c r="D19" s="15"/>
      <c r="E19" s="15"/>
      <c r="F19" s="15"/>
      <c r="G19" s="15" t="s">
        <v>146</v>
      </c>
      <c r="H19" s="15">
        <v>10</v>
      </c>
      <c r="I19" s="15">
        <v>10</v>
      </c>
      <c r="J19" s="15">
        <v>10</v>
      </c>
      <c r="K19" s="15"/>
      <c r="L19" s="15"/>
      <c r="M19" s="15"/>
    </row>
    <row r="20" spans="1:13" ht="16" x14ac:dyDescent="0.2">
      <c r="B20" s="15"/>
      <c r="C20" s="15"/>
      <c r="D20" s="15"/>
      <c r="E20" s="15"/>
      <c r="F20" s="15"/>
      <c r="G20" s="15" t="s">
        <v>145</v>
      </c>
      <c r="H20" s="15">
        <v>114000</v>
      </c>
      <c r="I20" s="15">
        <v>122000</v>
      </c>
      <c r="J20" s="15">
        <v>115000</v>
      </c>
      <c r="K20" s="15"/>
      <c r="L20" s="15"/>
      <c r="M20" s="15"/>
    </row>
    <row r="21" spans="1:13" ht="17" customHeight="1" x14ac:dyDescent="0.2">
      <c r="A21" s="232" t="s">
        <v>287</v>
      </c>
      <c r="B21" s="232"/>
      <c r="C21" s="232"/>
      <c r="D21" s="232"/>
      <c r="E21" s="15"/>
      <c r="F21" s="15"/>
      <c r="G21" s="15" t="s">
        <v>173</v>
      </c>
      <c r="H21" s="15">
        <v>11400</v>
      </c>
      <c r="I21" s="15">
        <v>12200</v>
      </c>
      <c r="J21" s="15">
        <v>11500</v>
      </c>
      <c r="K21" s="15"/>
      <c r="L21" s="15"/>
      <c r="M21" s="15"/>
    </row>
    <row r="22" spans="1:13" ht="32" customHeight="1" x14ac:dyDescent="0.2">
      <c r="A22" s="15" t="s">
        <v>273</v>
      </c>
      <c r="B22" s="195" t="s">
        <v>285</v>
      </c>
      <c r="C22" s="195"/>
      <c r="D22" s="195"/>
      <c r="E22" s="15"/>
      <c r="F22" s="15"/>
      <c r="G22" s="15" t="s">
        <v>174</v>
      </c>
      <c r="H22" s="15">
        <v>4488888.888888889</v>
      </c>
      <c r="I22" s="15">
        <v>5733333.333333333</v>
      </c>
      <c r="J22" s="15">
        <v>6500000</v>
      </c>
      <c r="K22" s="15"/>
      <c r="L22" s="15"/>
      <c r="M22" s="15"/>
    </row>
    <row r="23" spans="1:13" ht="31" customHeight="1" x14ac:dyDescent="0.2">
      <c r="A23" s="67" t="s">
        <v>283</v>
      </c>
      <c r="B23" s="195" t="s">
        <v>288</v>
      </c>
      <c r="C23" s="195"/>
      <c r="D23" s="195"/>
      <c r="E23" s="15"/>
      <c r="F23" s="15"/>
      <c r="G23" s="15"/>
      <c r="H23" s="15"/>
      <c r="I23" s="15"/>
      <c r="J23" s="15"/>
      <c r="K23" s="15"/>
      <c r="L23" s="15"/>
      <c r="M23" s="15"/>
    </row>
    <row r="24" spans="1:13" x14ac:dyDescent="0.2">
      <c r="A24" s="230"/>
      <c r="B24" s="230"/>
      <c r="C24" s="230"/>
      <c r="D24" s="230"/>
      <c r="E24" s="15"/>
      <c r="F24" s="15"/>
      <c r="G24" s="15"/>
      <c r="H24" s="15"/>
      <c r="I24" s="15"/>
      <c r="J24" s="15"/>
      <c r="K24" s="15"/>
      <c r="L24" s="15"/>
      <c r="M24" s="15"/>
    </row>
    <row r="25" spans="1:13" ht="17" customHeight="1" thickBot="1" x14ac:dyDescent="0.25">
      <c r="A25" s="232" t="s">
        <v>289</v>
      </c>
      <c r="B25" s="232"/>
      <c r="C25" s="232"/>
      <c r="D25" s="232"/>
      <c r="E25" s="15"/>
      <c r="F25" s="15"/>
      <c r="G25" s="15" t="s">
        <v>175</v>
      </c>
      <c r="H25" s="15"/>
      <c r="I25" s="15"/>
      <c r="J25" s="15"/>
      <c r="K25" s="15"/>
      <c r="L25" s="15"/>
      <c r="M25" s="15"/>
    </row>
    <row r="26" spans="1:13" ht="35" customHeight="1" x14ac:dyDescent="0.2">
      <c r="A26" s="67" t="s">
        <v>273</v>
      </c>
      <c r="B26" s="195" t="s">
        <v>290</v>
      </c>
      <c r="C26" s="195"/>
      <c r="D26" s="195"/>
      <c r="E26" s="15"/>
      <c r="F26" s="15"/>
      <c r="G26" s="91" t="s">
        <v>176</v>
      </c>
      <c r="H26" s="91" t="s">
        <v>177</v>
      </c>
      <c r="I26" s="91" t="s">
        <v>178</v>
      </c>
      <c r="J26" s="91" t="s">
        <v>179</v>
      </c>
      <c r="K26" s="91" t="s">
        <v>180</v>
      </c>
      <c r="L26" s="91" t="s">
        <v>181</v>
      </c>
      <c r="M26" s="91" t="s">
        <v>182</v>
      </c>
    </row>
    <row r="27" spans="1:13" ht="35" customHeight="1" x14ac:dyDescent="0.2">
      <c r="A27" s="67" t="s">
        <v>283</v>
      </c>
      <c r="B27" s="195" t="s">
        <v>291</v>
      </c>
      <c r="C27" s="195"/>
      <c r="D27" s="195"/>
      <c r="E27" s="15"/>
      <c r="F27" s="15"/>
      <c r="G27" s="15" t="s">
        <v>187</v>
      </c>
      <c r="H27" s="15">
        <v>300000</v>
      </c>
      <c r="I27" s="15">
        <v>1</v>
      </c>
      <c r="J27" s="15">
        <v>300000</v>
      </c>
      <c r="K27" s="110">
        <v>6.3380281690140844E-2</v>
      </c>
      <c r="L27" s="110">
        <v>0.80337419939356125</v>
      </c>
      <c r="M27" s="110">
        <v>4.2596772726902348</v>
      </c>
    </row>
    <row r="28" spans="1:13" ht="16" x14ac:dyDescent="0.2">
      <c r="A28" s="230"/>
      <c r="B28" s="230"/>
      <c r="C28" s="230"/>
      <c r="D28" s="230"/>
      <c r="E28" s="15"/>
      <c r="F28" s="15"/>
      <c r="G28" s="15" t="s">
        <v>209</v>
      </c>
      <c r="H28" s="15">
        <v>3800000</v>
      </c>
      <c r="I28" s="15">
        <v>2</v>
      </c>
      <c r="J28" s="15">
        <v>1900000</v>
      </c>
      <c r="K28" s="111">
        <v>0.40140845070422537</v>
      </c>
      <c r="L28" s="111">
        <v>0.67378728869851168</v>
      </c>
      <c r="M28" s="111">
        <v>3.4028261053501945</v>
      </c>
    </row>
    <row r="29" spans="1:13" ht="16" x14ac:dyDescent="0.2">
      <c r="A29" s="230" t="s">
        <v>292</v>
      </c>
      <c r="B29" s="230"/>
      <c r="C29" s="230"/>
      <c r="D29" s="230"/>
      <c r="E29" s="15"/>
      <c r="F29" s="15"/>
      <c r="G29" s="15" t="s">
        <v>210</v>
      </c>
      <c r="H29" s="15">
        <v>36600000</v>
      </c>
      <c r="I29" s="15">
        <v>2</v>
      </c>
      <c r="J29" s="15">
        <v>18300000</v>
      </c>
      <c r="K29" s="111">
        <v>3.8661971830985919</v>
      </c>
      <c r="L29" s="112">
        <v>3.5034892114923021E-2</v>
      </c>
      <c r="M29" s="111">
        <v>3.4028261053501945</v>
      </c>
    </row>
    <row r="30" spans="1:13" ht="27" customHeight="1" x14ac:dyDescent="0.2">
      <c r="A30" s="67" t="s">
        <v>273</v>
      </c>
      <c r="B30" s="195" t="s">
        <v>293</v>
      </c>
      <c r="C30" s="195"/>
      <c r="D30" s="195"/>
      <c r="E30" s="15"/>
      <c r="F30" s="15"/>
      <c r="G30" s="15" t="s">
        <v>211</v>
      </c>
      <c r="H30" s="15">
        <v>113600000</v>
      </c>
      <c r="I30" s="15">
        <v>24</v>
      </c>
      <c r="J30" s="15">
        <v>4733333.333333333</v>
      </c>
      <c r="K30" s="15"/>
      <c r="L30" s="15"/>
      <c r="M30" s="15"/>
    </row>
    <row r="31" spans="1:13" ht="27" customHeight="1" x14ac:dyDescent="0.2">
      <c r="A31" s="67" t="s">
        <v>283</v>
      </c>
      <c r="B31" s="195" t="s">
        <v>294</v>
      </c>
      <c r="C31" s="195"/>
      <c r="D31" s="195"/>
      <c r="E31" s="15"/>
      <c r="F31" s="15"/>
      <c r="G31" s="15"/>
      <c r="H31" s="15"/>
      <c r="I31" s="15"/>
      <c r="J31" s="15"/>
      <c r="K31" s="15"/>
      <c r="L31" s="15"/>
      <c r="M31" s="15"/>
    </row>
    <row r="32" spans="1:13" ht="17" thickBot="1" x14ac:dyDescent="0.25">
      <c r="A32" s="15"/>
      <c r="B32" s="15"/>
      <c r="C32" s="15"/>
      <c r="D32" s="15"/>
      <c r="E32" s="15"/>
      <c r="F32" s="15"/>
      <c r="G32" s="92" t="s">
        <v>185</v>
      </c>
      <c r="H32" s="92">
        <v>154300000</v>
      </c>
      <c r="I32" s="92">
        <v>29</v>
      </c>
      <c r="J32" s="92"/>
      <c r="K32" s="92"/>
      <c r="L32" s="92"/>
      <c r="M32" s="92"/>
    </row>
    <row r="34" spans="1:4" x14ac:dyDescent="0.2">
      <c r="A34" s="13" t="s">
        <v>286</v>
      </c>
    </row>
    <row r="36" spans="1:4" ht="32" customHeight="1" x14ac:dyDescent="0.2">
      <c r="A36" s="15" t="s">
        <v>258</v>
      </c>
      <c r="B36" s="195" t="s">
        <v>260</v>
      </c>
      <c r="C36" s="195"/>
      <c r="D36" s="195"/>
    </row>
    <row r="37" spans="1:4" ht="64" customHeight="1" x14ac:dyDescent="0.2">
      <c r="A37" s="15"/>
      <c r="B37" s="195" t="s">
        <v>262</v>
      </c>
      <c r="C37" s="195"/>
      <c r="D37" s="195"/>
    </row>
    <row r="38" spans="1:4" x14ac:dyDescent="0.2">
      <c r="A38" s="15"/>
      <c r="B38" s="15"/>
    </row>
    <row r="39" spans="1:4" ht="32" customHeight="1" x14ac:dyDescent="0.2">
      <c r="A39" s="15" t="s">
        <v>259</v>
      </c>
      <c r="B39" s="246" t="s">
        <v>261</v>
      </c>
      <c r="C39" s="246"/>
      <c r="D39" s="246"/>
    </row>
    <row r="40" spans="1:4" ht="64" customHeight="1" x14ac:dyDescent="0.2">
      <c r="A40" s="15"/>
      <c r="B40" s="195" t="s">
        <v>263</v>
      </c>
      <c r="C40" s="195"/>
      <c r="D40" s="195"/>
    </row>
    <row r="41" spans="1:4" x14ac:dyDescent="0.2">
      <c r="A41" s="15"/>
      <c r="B41" s="15"/>
    </row>
    <row r="42" spans="1:4" ht="32" customHeight="1" x14ac:dyDescent="0.2">
      <c r="A42" s="15" t="s">
        <v>264</v>
      </c>
      <c r="B42" s="195" t="s">
        <v>265</v>
      </c>
      <c r="C42" s="195"/>
      <c r="D42" s="195"/>
    </row>
    <row r="43" spans="1:4" ht="48" customHeight="1" x14ac:dyDescent="0.2">
      <c r="A43" s="15"/>
      <c r="B43" s="195" t="s">
        <v>266</v>
      </c>
      <c r="C43" s="195"/>
      <c r="D43" s="195"/>
    </row>
  </sheetData>
  <mergeCells count="17">
    <mergeCell ref="B37:D37"/>
    <mergeCell ref="B39:D39"/>
    <mergeCell ref="B40:D40"/>
    <mergeCell ref="B42:D42"/>
    <mergeCell ref="B43:D43"/>
    <mergeCell ref="A24:D24"/>
    <mergeCell ref="A28:D28"/>
    <mergeCell ref="A21:D21"/>
    <mergeCell ref="A25:D25"/>
    <mergeCell ref="B36:D36"/>
    <mergeCell ref="B22:D22"/>
    <mergeCell ref="B23:D23"/>
    <mergeCell ref="A29:D29"/>
    <mergeCell ref="B30:D30"/>
    <mergeCell ref="B31:D31"/>
    <mergeCell ref="B26:D26"/>
    <mergeCell ref="B27:D2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C231D-41BA-8146-8319-C0E3768E2724}">
  <dimension ref="A1:O26"/>
  <sheetViews>
    <sheetView workbookViewId="0">
      <selection activeCell="B26" sqref="B26:D26"/>
    </sheetView>
  </sheetViews>
  <sheetFormatPr baseColWidth="10" defaultRowHeight="15" x14ac:dyDescent="0.2"/>
  <cols>
    <col min="1" max="2" width="17" style="67" customWidth="1"/>
    <col min="3" max="3" width="15.6640625" style="67" bestFit="1" customWidth="1"/>
    <col min="4" max="4" width="12.6640625" style="67" bestFit="1" customWidth="1"/>
    <col min="5" max="5" width="10.83203125" style="67"/>
    <col min="6" max="6" width="18.5" style="67" bestFit="1" customWidth="1"/>
    <col min="7" max="7" width="3.5" style="67" bestFit="1" customWidth="1"/>
    <col min="8" max="8" width="11.1640625" style="67" customWidth="1"/>
    <col min="9" max="9" width="12.1640625" style="67" bestFit="1" customWidth="1"/>
    <col min="10" max="10" width="10.83203125" style="67"/>
    <col min="11" max="11" width="34.1640625" style="67" bestFit="1" customWidth="1"/>
    <col min="12" max="12" width="12.1640625" style="67" bestFit="1" customWidth="1"/>
    <col min="13" max="16384" width="10.83203125" style="67"/>
  </cols>
  <sheetData>
    <row r="1" spans="1:15" ht="16" x14ac:dyDescent="0.2">
      <c r="A1" s="15" t="s">
        <v>212</v>
      </c>
      <c r="B1" s="15"/>
      <c r="C1" s="15"/>
      <c r="D1" s="15"/>
      <c r="E1" s="15"/>
      <c r="F1" s="15"/>
      <c r="G1" s="15"/>
      <c r="H1" s="15"/>
      <c r="I1" s="15"/>
      <c r="J1" s="15"/>
      <c r="K1" s="15"/>
      <c r="L1" s="15"/>
    </row>
    <row r="2" spans="1:15" ht="16" thickBot="1" x14ac:dyDescent="0.25">
      <c r="A2" s="15"/>
      <c r="B2" s="15"/>
      <c r="C2" s="15"/>
      <c r="D2" s="15"/>
      <c r="E2" s="15"/>
      <c r="F2" s="15"/>
      <c r="G2" s="15"/>
      <c r="H2" s="15"/>
      <c r="I2" s="15"/>
      <c r="J2" s="15"/>
      <c r="K2" s="15"/>
      <c r="L2" s="15"/>
    </row>
    <row r="3" spans="1:15" ht="16" x14ac:dyDescent="0.2">
      <c r="A3" s="15" t="s">
        <v>267</v>
      </c>
      <c r="B3" s="15"/>
      <c r="C3" s="268" t="s">
        <v>268</v>
      </c>
      <c r="D3" s="268"/>
      <c r="E3" s="15"/>
      <c r="F3" s="269" t="s">
        <v>269</v>
      </c>
      <c r="G3" s="270"/>
      <c r="H3" s="270"/>
      <c r="I3" s="271"/>
      <c r="J3" s="15"/>
      <c r="K3" s="269" t="s">
        <v>274</v>
      </c>
      <c r="L3" s="271"/>
      <c r="N3" s="21" t="s">
        <v>147</v>
      </c>
      <c r="O3" s="22" t="s">
        <v>148</v>
      </c>
    </row>
    <row r="4" spans="1:15" x14ac:dyDescent="0.15">
      <c r="A4" s="15">
        <f>Attitude!J9-Attitude!E9</f>
        <v>1</v>
      </c>
      <c r="B4" s="15"/>
      <c r="E4" s="15"/>
      <c r="F4" s="272"/>
      <c r="G4" s="273"/>
      <c r="H4" s="273"/>
      <c r="I4" s="274"/>
      <c r="J4" s="15"/>
      <c r="K4" s="113"/>
      <c r="L4" s="114"/>
      <c r="N4" s="21" t="s">
        <v>114</v>
      </c>
      <c r="O4" s="21" t="s">
        <v>149</v>
      </c>
    </row>
    <row r="5" spans="1:15" x14ac:dyDescent="0.2">
      <c r="A5" s="15">
        <f>Attitude!J10-Attitude!E10</f>
        <v>2.333333333333333</v>
      </c>
      <c r="B5" s="15"/>
      <c r="C5" s="67" t="s">
        <v>134</v>
      </c>
      <c r="D5" s="136">
        <v>1.2777777777777777</v>
      </c>
      <c r="E5" s="15"/>
      <c r="F5" s="250" t="s">
        <v>111</v>
      </c>
      <c r="G5" s="259"/>
      <c r="H5" s="259"/>
      <c r="I5" s="251"/>
      <c r="J5" s="15"/>
      <c r="K5" s="250" t="s">
        <v>219</v>
      </c>
      <c r="L5" s="251"/>
      <c r="N5" s="22" t="s">
        <v>128</v>
      </c>
      <c r="O5" s="27" t="s">
        <v>150</v>
      </c>
    </row>
    <row r="6" spans="1:15" x14ac:dyDescent="0.2">
      <c r="A6" s="15">
        <f>Attitude!J11-Attitude!E11</f>
        <v>-0.33333333333333304</v>
      </c>
      <c r="B6" s="15"/>
      <c r="C6" s="67" t="s">
        <v>135</v>
      </c>
      <c r="D6" s="136">
        <v>0.39532906919646021</v>
      </c>
      <c r="E6" s="15"/>
      <c r="F6" s="115" t="s">
        <v>112</v>
      </c>
      <c r="G6" s="116" t="s">
        <v>270</v>
      </c>
      <c r="H6" s="116" t="str">
        <f>IF(H7="&gt;",O3,IF(H7="&lt;",O4,O5))</f>
        <v>=</v>
      </c>
      <c r="I6" s="117">
        <f>I7</f>
        <v>0</v>
      </c>
      <c r="J6" s="15"/>
      <c r="K6" s="115" t="s">
        <v>275</v>
      </c>
      <c r="L6" s="118">
        <v>0.95</v>
      </c>
    </row>
    <row r="7" spans="1:15" x14ac:dyDescent="0.2">
      <c r="A7" s="15">
        <f>Attitude!J12-Attitude!E12</f>
        <v>4.3333333333333339</v>
      </c>
      <c r="B7" s="15"/>
      <c r="C7" s="67" t="s">
        <v>136</v>
      </c>
      <c r="D7" s="136">
        <v>1.1666666666666665</v>
      </c>
      <c r="E7" s="15"/>
      <c r="F7" s="115" t="s">
        <v>113</v>
      </c>
      <c r="G7" s="116" t="s">
        <v>270</v>
      </c>
      <c r="H7" s="119" t="s">
        <v>128</v>
      </c>
      <c r="I7" s="82">
        <v>0</v>
      </c>
      <c r="J7" s="15"/>
      <c r="K7" s="113"/>
      <c r="L7" s="114"/>
    </row>
    <row r="8" spans="1:15" x14ac:dyDescent="0.2">
      <c r="A8" s="15">
        <f>Attitude!J13-Attitude!E13</f>
        <v>0</v>
      </c>
      <c r="B8" s="15"/>
      <c r="C8" s="67" t="s">
        <v>137</v>
      </c>
      <c r="D8" s="136">
        <v>1</v>
      </c>
      <c r="E8" s="15"/>
      <c r="F8" s="120" t="s">
        <v>115</v>
      </c>
      <c r="G8" s="121"/>
      <c r="H8" s="121"/>
      <c r="I8" s="122" t="str">
        <f>IF(H7="&lt;","Lower",IF(H7="&gt;","Upper","Two"))</f>
        <v>Two</v>
      </c>
      <c r="J8" s="15"/>
      <c r="K8" s="250" t="s">
        <v>276</v>
      </c>
      <c r="L8" s="251"/>
    </row>
    <row r="9" spans="1:15" x14ac:dyDescent="0.2">
      <c r="A9" s="15">
        <f>Attitude!J14-Attitude!E14</f>
        <v>2</v>
      </c>
      <c r="B9" s="15"/>
      <c r="C9" s="67" t="s">
        <v>138</v>
      </c>
      <c r="D9" s="136">
        <v>1.3694600671143629</v>
      </c>
      <c r="E9" s="15"/>
      <c r="F9" s="250" t="s">
        <v>116</v>
      </c>
      <c r="G9" s="259"/>
      <c r="H9" s="259"/>
      <c r="I9" s="251"/>
      <c r="J9" s="15"/>
      <c r="K9" s="115" t="s">
        <v>277</v>
      </c>
      <c r="L9" s="125">
        <f>D9</f>
        <v>1.3694600671143629</v>
      </c>
    </row>
    <row r="10" spans="1:15" x14ac:dyDescent="0.2">
      <c r="A10" s="15">
        <f>Attitude!J15-Attitude!E15</f>
        <v>1</v>
      </c>
      <c r="B10" s="15"/>
      <c r="C10" s="67" t="s">
        <v>139</v>
      </c>
      <c r="D10" s="136">
        <v>1.8754208754208754</v>
      </c>
      <c r="E10" s="15"/>
      <c r="F10" s="123"/>
      <c r="G10" s="66"/>
      <c r="H10" s="124" t="s">
        <v>117</v>
      </c>
      <c r="I10" s="125">
        <v>0.05</v>
      </c>
      <c r="J10" s="15"/>
      <c r="K10" s="115" t="s">
        <v>278</v>
      </c>
      <c r="L10" s="125">
        <f>D5</f>
        <v>1.2777777777777777</v>
      </c>
    </row>
    <row r="11" spans="1:15" x14ac:dyDescent="0.2">
      <c r="A11" s="15">
        <f>Attitude!J16-Attitude!E16</f>
        <v>2.333333333333333</v>
      </c>
      <c r="B11" s="15"/>
      <c r="C11" s="67" t="s">
        <v>140</v>
      </c>
      <c r="D11" s="136">
        <v>1.0638745008041983</v>
      </c>
      <c r="E11" s="15"/>
      <c r="F11" s="250" t="s">
        <v>118</v>
      </c>
      <c r="G11" s="259"/>
      <c r="H11" s="259"/>
      <c r="I11" s="251"/>
      <c r="J11" s="15"/>
      <c r="K11" s="115" t="s">
        <v>122</v>
      </c>
      <c r="L11" s="82">
        <f>D17</f>
        <v>12</v>
      </c>
    </row>
    <row r="12" spans="1:15" x14ac:dyDescent="0.2">
      <c r="A12" s="15">
        <f>Attitude!J17-Attitude!E17</f>
        <v>-0.66666666666666607</v>
      </c>
      <c r="B12" s="15"/>
      <c r="C12" s="67" t="s">
        <v>141</v>
      </c>
      <c r="D12" s="136">
        <v>0.73764366923218416</v>
      </c>
      <c r="E12" s="15"/>
      <c r="F12" s="252" t="s">
        <v>119</v>
      </c>
      <c r="G12" s="253"/>
      <c r="H12" s="253"/>
      <c r="I12" s="126">
        <f>I18-1</f>
        <v>11</v>
      </c>
      <c r="J12" s="15"/>
      <c r="K12" s="127"/>
      <c r="L12" s="128"/>
    </row>
    <row r="13" spans="1:15" x14ac:dyDescent="0.2">
      <c r="A13" s="15">
        <f>Attitude!J18-Attitude!E18</f>
        <v>0.66666666666666696</v>
      </c>
      <c r="B13" s="15"/>
      <c r="C13" s="67" t="s">
        <v>142</v>
      </c>
      <c r="D13" s="136">
        <v>5</v>
      </c>
      <c r="E13" s="15"/>
      <c r="F13" s="266" t="str">
        <f>IF(H6="=","Lower Critical Value","Critical Value")</f>
        <v>Lower Critical Value</v>
      </c>
      <c r="G13" s="267"/>
      <c r="H13" s="267"/>
      <c r="I13" s="139">
        <f>IF(I8="Two",-(TINV(I10,I12)),IF(I8="Lower",-(TINV(I10*2,I12)),TINV(I10*2,I12)))</f>
        <v>-2.2009851600916384</v>
      </c>
      <c r="J13" s="15"/>
      <c r="K13" s="250" t="s">
        <v>220</v>
      </c>
      <c r="L13" s="251"/>
    </row>
    <row r="14" spans="1:15" x14ac:dyDescent="0.2">
      <c r="A14" s="15">
        <f>Attitude!J19-Attitude!E19</f>
        <v>1.333333333333333</v>
      </c>
      <c r="B14" s="15"/>
      <c r="C14" s="67" t="s">
        <v>143</v>
      </c>
      <c r="D14" s="136">
        <v>-0.66666666666666607</v>
      </c>
      <c r="E14" s="15"/>
      <c r="F14" s="260" t="str">
        <f>IF(H6="=","Upper Critical Value","")</f>
        <v>Upper Critical Value</v>
      </c>
      <c r="G14" s="261"/>
      <c r="H14" s="262"/>
      <c r="I14" s="140">
        <f>IF(H6="=",-I13,"")</f>
        <v>2.2009851600916384</v>
      </c>
      <c r="J14" s="15"/>
      <c r="K14" s="115" t="s">
        <v>279</v>
      </c>
      <c r="L14" s="142">
        <f>L9/SQRT(L11)</f>
        <v>0.39532906919646021</v>
      </c>
    </row>
    <row r="15" spans="1:15" x14ac:dyDescent="0.2">
      <c r="A15" s="15">
        <f>Attitude!J20-Attitude!E20</f>
        <v>1.333333333333333</v>
      </c>
      <c r="B15" s="15"/>
      <c r="C15" s="67" t="s">
        <v>144</v>
      </c>
      <c r="D15" s="136">
        <v>4.3333333333333339</v>
      </c>
      <c r="E15" s="15"/>
      <c r="F15" s="263" t="s">
        <v>157</v>
      </c>
      <c r="G15" s="264"/>
      <c r="H15" s="264"/>
      <c r="I15" s="265"/>
      <c r="J15" s="15"/>
      <c r="K15" s="115" t="s">
        <v>119</v>
      </c>
      <c r="L15" s="142">
        <f>L11-1</f>
        <v>11</v>
      </c>
    </row>
    <row r="16" spans="1:15" x14ac:dyDescent="0.2">
      <c r="A16" s="15"/>
      <c r="B16" s="15"/>
      <c r="C16" s="67" t="s">
        <v>145</v>
      </c>
      <c r="D16" s="136">
        <v>15.333333333333332</v>
      </c>
      <c r="E16" s="15"/>
      <c r="F16" s="260" t="s">
        <v>271</v>
      </c>
      <c r="G16" s="261"/>
      <c r="H16" s="262"/>
      <c r="I16" s="125">
        <f>D9</f>
        <v>1.3694600671143629</v>
      </c>
      <c r="J16" s="15"/>
      <c r="K16" s="129" t="s">
        <v>280</v>
      </c>
      <c r="L16" s="142">
        <f>TINV(1-L6,L15)</f>
        <v>2.2009851600916384</v>
      </c>
    </row>
    <row r="17" spans="1:12" ht="16" thickBot="1" x14ac:dyDescent="0.25">
      <c r="A17" s="15"/>
      <c r="B17" s="15"/>
      <c r="C17" s="130" t="s">
        <v>146</v>
      </c>
      <c r="D17" s="137">
        <v>12</v>
      </c>
      <c r="E17" s="15"/>
      <c r="F17" s="260" t="s">
        <v>272</v>
      </c>
      <c r="G17" s="261"/>
      <c r="H17" s="262"/>
      <c r="I17" s="125">
        <f>D5</f>
        <v>1.2777777777777777</v>
      </c>
      <c r="J17" s="15"/>
      <c r="K17" s="115" t="s">
        <v>281</v>
      </c>
      <c r="L17" s="142">
        <f>L16*L14</f>
        <v>0.87011341465424941</v>
      </c>
    </row>
    <row r="18" spans="1:12" x14ac:dyDescent="0.2">
      <c r="A18" s="15"/>
      <c r="B18" s="15"/>
      <c r="C18" s="15"/>
      <c r="D18" s="15"/>
      <c r="E18" s="15"/>
      <c r="F18" s="260" t="s">
        <v>122</v>
      </c>
      <c r="G18" s="261"/>
      <c r="H18" s="262"/>
      <c r="I18" s="125">
        <f>D17</f>
        <v>12</v>
      </c>
      <c r="J18" s="15"/>
      <c r="K18" s="131"/>
      <c r="L18" s="132"/>
    </row>
    <row r="19" spans="1:12" x14ac:dyDescent="0.2">
      <c r="A19" s="231" t="s">
        <v>298</v>
      </c>
      <c r="B19" s="231"/>
      <c r="C19" s="231"/>
      <c r="D19" s="231"/>
      <c r="E19" s="15"/>
      <c r="F19" s="256"/>
      <c r="G19" s="257"/>
      <c r="H19" s="257"/>
      <c r="I19" s="258"/>
      <c r="J19" s="15"/>
      <c r="K19" s="250" t="s">
        <v>282</v>
      </c>
      <c r="L19" s="251"/>
    </row>
    <row r="20" spans="1:12" x14ac:dyDescent="0.2">
      <c r="A20" s="231" t="s">
        <v>299</v>
      </c>
      <c r="B20" s="231"/>
      <c r="C20" s="231"/>
      <c r="D20" s="231"/>
      <c r="E20" s="15"/>
      <c r="F20" s="252" t="s">
        <v>123</v>
      </c>
      <c r="G20" s="253"/>
      <c r="H20" s="253"/>
      <c r="I20" s="138">
        <f>I16/SQRT(I18)</f>
        <v>0.39532906919646021</v>
      </c>
      <c r="J20" s="15"/>
      <c r="K20" s="115" t="s">
        <v>223</v>
      </c>
      <c r="L20" s="133">
        <f>L10-L17</f>
        <v>0.40766436312352827</v>
      </c>
    </row>
    <row r="21" spans="1:12" ht="16" thickBot="1" x14ac:dyDescent="0.25">
      <c r="C21" s="15"/>
      <c r="D21" s="15"/>
      <c r="E21" s="15"/>
      <c r="F21" s="254" t="s">
        <v>124</v>
      </c>
      <c r="G21" s="255"/>
      <c r="H21" s="255"/>
      <c r="I21" s="141">
        <f>(I17-I6)/I20</f>
        <v>3.2321877578468214</v>
      </c>
      <c r="J21" s="15"/>
      <c r="K21" s="134" t="s">
        <v>224</v>
      </c>
      <c r="L21" s="135">
        <f>L10+L17</f>
        <v>2.1478911924320272</v>
      </c>
    </row>
    <row r="22" spans="1:12" x14ac:dyDescent="0.2">
      <c r="A22" s="15"/>
      <c r="B22" s="15"/>
      <c r="C22" s="15"/>
      <c r="D22" s="15"/>
      <c r="E22" s="15"/>
      <c r="F22" s="252" t="s">
        <v>125</v>
      </c>
      <c r="G22" s="253"/>
      <c r="H22" s="253"/>
      <c r="I22" s="141">
        <f>IF(H6="=",TDIST(ABS(I21),I12,2),IF(I21*I13&gt;0,TDIST(ABS(I21),I12,1),1-TDIST(ABS(I21),I12,1)))</f>
        <v>7.9841020487617983E-3</v>
      </c>
      <c r="J22" s="15"/>
      <c r="K22" s="15"/>
      <c r="L22" s="15"/>
    </row>
    <row r="23" spans="1:12" x14ac:dyDescent="0.2">
      <c r="A23" s="15"/>
      <c r="B23" s="15"/>
      <c r="C23" s="15"/>
      <c r="D23" s="15"/>
      <c r="E23" s="15"/>
      <c r="F23" s="256"/>
      <c r="G23" s="257"/>
      <c r="H23" s="257"/>
      <c r="I23" s="258"/>
      <c r="J23" s="15"/>
      <c r="K23" s="15"/>
      <c r="L23" s="15"/>
    </row>
    <row r="24" spans="1:12" ht="41" customHeight="1" x14ac:dyDescent="0.2">
      <c r="A24" s="15" t="s">
        <v>273</v>
      </c>
      <c r="B24" s="195" t="s">
        <v>295</v>
      </c>
      <c r="C24" s="195"/>
      <c r="D24" s="195"/>
      <c r="E24" s="15"/>
      <c r="F24" s="250" t="s">
        <v>126</v>
      </c>
      <c r="G24" s="259"/>
      <c r="H24" s="259"/>
      <c r="I24" s="251"/>
      <c r="J24" s="15"/>
      <c r="K24" s="15"/>
      <c r="L24" s="15"/>
    </row>
    <row r="25" spans="1:12" ht="33" thickBot="1" x14ac:dyDescent="0.25">
      <c r="A25" s="15" t="s">
        <v>283</v>
      </c>
      <c r="B25" s="195" t="s">
        <v>296</v>
      </c>
      <c r="C25" s="195"/>
      <c r="D25" s="195"/>
      <c r="E25" s="15"/>
      <c r="F25" s="247" t="str">
        <f>IF(I22&lt;I10,"Reject Null Hypothesis", "Fail to reject Null Hypothesis")</f>
        <v>Reject Null Hypothesis</v>
      </c>
      <c r="G25" s="248"/>
      <c r="H25" s="248"/>
      <c r="I25" s="249"/>
      <c r="J25" s="15"/>
      <c r="K25" s="15"/>
      <c r="L25" s="15"/>
    </row>
    <row r="26" spans="1:12" ht="128" customHeight="1" x14ac:dyDescent="0.2">
      <c r="A26" s="15" t="s">
        <v>126</v>
      </c>
      <c r="B26" s="195" t="s">
        <v>297</v>
      </c>
      <c r="C26" s="195"/>
      <c r="D26" s="195"/>
    </row>
  </sheetData>
  <mergeCells count="30">
    <mergeCell ref="B24:D24"/>
    <mergeCell ref="B25:D25"/>
    <mergeCell ref="B26:D26"/>
    <mergeCell ref="A19:D19"/>
    <mergeCell ref="A20:D20"/>
    <mergeCell ref="C3:D3"/>
    <mergeCell ref="F3:I3"/>
    <mergeCell ref="K3:L3"/>
    <mergeCell ref="F4:I4"/>
    <mergeCell ref="F5:I5"/>
    <mergeCell ref="K5:L5"/>
    <mergeCell ref="K8:L8"/>
    <mergeCell ref="F9:I9"/>
    <mergeCell ref="F11:I11"/>
    <mergeCell ref="F12:H12"/>
    <mergeCell ref="F13:H13"/>
    <mergeCell ref="K13:L13"/>
    <mergeCell ref="F14:H14"/>
    <mergeCell ref="F15:I15"/>
    <mergeCell ref="F16:H16"/>
    <mergeCell ref="F17:H17"/>
    <mergeCell ref="F18:H18"/>
    <mergeCell ref="F25:I25"/>
    <mergeCell ref="K19:L19"/>
    <mergeCell ref="F20:H20"/>
    <mergeCell ref="F21:H21"/>
    <mergeCell ref="F22:H22"/>
    <mergeCell ref="F23:I23"/>
    <mergeCell ref="F24:I24"/>
    <mergeCell ref="F19:I19"/>
  </mergeCells>
  <conditionalFormatting sqref="I14">
    <cfRule type="cellIs" dxfId="0" priority="1" stopIfTrue="1" operator="notEqual">
      <formul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Copyright  </vt:lpstr>
      <vt:lpstr>Data Description</vt:lpstr>
      <vt:lpstr>EVSurvey </vt:lpstr>
      <vt:lpstr>Attitude</vt:lpstr>
      <vt:lpstr>Experiment</vt:lpstr>
      <vt:lpstr>Question 1</vt:lpstr>
      <vt:lpstr>Question 2</vt:lpstr>
      <vt:lpstr>Question 3</vt:lpstr>
      <vt:lpstr>Question 4</vt:lpstr>
      <vt:lpstr>Question 5</vt:lpstr>
      <vt:lpstr>Question 6</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BA HUY HOANG LE</cp:lastModifiedBy>
  <dcterms:created xsi:type="dcterms:W3CDTF">2011-08-01T14:22:18Z</dcterms:created>
  <dcterms:modified xsi:type="dcterms:W3CDTF">2024-09-05T08:21:27Z</dcterms:modified>
</cp:coreProperties>
</file>